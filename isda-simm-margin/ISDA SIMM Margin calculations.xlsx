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08bd9a5d4bd27/Documents/Desktop/"/>
    </mc:Choice>
  </mc:AlternateContent>
  <xr:revisionPtr revIDLastSave="125" documentId="8_{E2E7ECB6-E9BF-4DF8-9274-F14AE13D07ED}" xr6:coauthVersionLast="47" xr6:coauthVersionMax="47" xr10:uidLastSave="{231495AA-BD16-4BCA-B0B3-C3C54B092651}"/>
  <bookViews>
    <workbookView xWindow="-108" yWindow="-108" windowWidth="23256" windowHeight="12456" xr2:uid="{10BE223B-C68F-4BF5-99F3-B2E721994304}"/>
  </bookViews>
  <sheets>
    <sheet name="Case Study" sheetId="1" r:id="rId1"/>
    <sheet name="Trades Inputs" sheetId="3" r:id="rId2"/>
    <sheet name="Market Rates" sheetId="6" r:id="rId3"/>
    <sheet name="BS Delta" sheetId="8" r:id="rId4"/>
    <sheet name="Interest Rate Product" sheetId="7" r:id="rId5"/>
    <sheet name="IR Cash Flow" sheetId="13" r:id="rId6"/>
    <sheet name="Equity Class Product" sheetId="4" r:id="rId7"/>
    <sheet name="FX Class Product" sheetId="9" r:id="rId8"/>
    <sheet name="Commodity Class" sheetId="10" r:id="rId9"/>
    <sheet name="Credit Class" sheetId="11" r:id="rId10"/>
  </sheets>
  <externalReferences>
    <externalReference r:id="rId11"/>
  </externalReferences>
  <definedNames>
    <definedName name="_xlnm._FilterDatabase" localSheetId="1" hidden="1">'Trades Inputs'!$A$1:$BN$25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3" l="1"/>
  <c r="M48" i="13"/>
  <c r="N48" i="13" s="1"/>
  <c r="K48" i="13"/>
  <c r="L48" i="13" s="1"/>
  <c r="H48" i="13"/>
  <c r="G48" i="13"/>
  <c r="P47" i="13"/>
  <c r="M47" i="13"/>
  <c r="N47" i="13" s="1"/>
  <c r="K47" i="13"/>
  <c r="J47" i="13"/>
  <c r="G47" i="13"/>
  <c r="H47" i="13" s="1"/>
  <c r="P46" i="13"/>
  <c r="K46" i="13"/>
  <c r="J46" i="13"/>
  <c r="G46" i="13"/>
  <c r="H46" i="13" s="1"/>
  <c r="P45" i="13"/>
  <c r="J45" i="13"/>
  <c r="H45" i="13"/>
  <c r="G45" i="13"/>
  <c r="P44" i="13"/>
  <c r="J44" i="13"/>
  <c r="H44" i="13"/>
  <c r="G44" i="13"/>
  <c r="P43" i="13"/>
  <c r="M43" i="13"/>
  <c r="N43" i="13" s="1"/>
  <c r="K43" i="13"/>
  <c r="J43" i="13"/>
  <c r="G43" i="13"/>
  <c r="H43" i="13" s="1"/>
  <c r="P42" i="13"/>
  <c r="J42" i="13"/>
  <c r="G42" i="13"/>
  <c r="H42" i="13" s="1"/>
  <c r="P41" i="13"/>
  <c r="M41" i="13"/>
  <c r="M42" i="13" s="1"/>
  <c r="L41" i="13"/>
  <c r="K41" i="13"/>
  <c r="J41" i="13"/>
  <c r="H41" i="13"/>
  <c r="G41" i="13"/>
  <c r="P40" i="13"/>
  <c r="M40" i="13"/>
  <c r="N40" i="13" s="1"/>
  <c r="K40" i="13"/>
  <c r="L40" i="13" s="1"/>
  <c r="J40" i="13"/>
  <c r="H40" i="13"/>
  <c r="G40" i="13"/>
  <c r="P39" i="13"/>
  <c r="M39" i="13"/>
  <c r="N39" i="13" s="1"/>
  <c r="K39" i="13"/>
  <c r="J39" i="13"/>
  <c r="G39" i="13"/>
  <c r="H39" i="13" s="1"/>
  <c r="P38" i="13"/>
  <c r="M38" i="13"/>
  <c r="N38" i="13" s="1"/>
  <c r="K38" i="13"/>
  <c r="J38" i="13"/>
  <c r="G38" i="13"/>
  <c r="H38" i="13" s="1"/>
  <c r="P37" i="13"/>
  <c r="M37" i="13"/>
  <c r="N37" i="13" s="1"/>
  <c r="L37" i="13"/>
  <c r="O37" i="13" s="1"/>
  <c r="K37" i="13"/>
  <c r="J37" i="13"/>
  <c r="H37" i="13"/>
  <c r="G37" i="13"/>
  <c r="P36" i="13"/>
  <c r="M36" i="13"/>
  <c r="N36" i="13" s="1"/>
  <c r="K36" i="13"/>
  <c r="L36" i="13" s="1"/>
  <c r="J36" i="13"/>
  <c r="H36" i="13"/>
  <c r="G36" i="13"/>
  <c r="N35" i="13"/>
  <c r="M35" i="13"/>
  <c r="K35" i="13"/>
  <c r="G35" i="13"/>
  <c r="H35" i="13" s="1"/>
  <c r="L35" i="13" s="1"/>
  <c r="O35" i="13" s="1"/>
  <c r="M34" i="13"/>
  <c r="N34" i="13" s="1"/>
  <c r="L34" i="13"/>
  <c r="O34" i="13" s="1"/>
  <c r="K34" i="13"/>
  <c r="H34" i="13"/>
  <c r="G34" i="13"/>
  <c r="N33" i="13"/>
  <c r="M33" i="13"/>
  <c r="K33" i="13"/>
  <c r="G33" i="13"/>
  <c r="H33" i="13" s="1"/>
  <c r="N32" i="13"/>
  <c r="M32" i="13"/>
  <c r="G32" i="13"/>
  <c r="H32" i="13" s="1"/>
  <c r="G31" i="13"/>
  <c r="H31" i="13" s="1"/>
  <c r="K30" i="13"/>
  <c r="L30" i="13" s="1"/>
  <c r="G30" i="13"/>
  <c r="H30" i="13" s="1"/>
  <c r="G29" i="13"/>
  <c r="H29" i="13" s="1"/>
  <c r="G28" i="13"/>
  <c r="H28" i="13" s="1"/>
  <c r="H27" i="13"/>
  <c r="G27" i="13"/>
  <c r="G26" i="13"/>
  <c r="H26" i="13" s="1"/>
  <c r="H25" i="13"/>
  <c r="G25" i="13"/>
  <c r="M24" i="13"/>
  <c r="K24" i="13"/>
  <c r="L24" i="13" s="1"/>
  <c r="H24" i="13"/>
  <c r="G24" i="13"/>
  <c r="G23" i="13"/>
  <c r="H23" i="13" s="1"/>
  <c r="H22" i="13"/>
  <c r="G22" i="13"/>
  <c r="G21" i="13"/>
  <c r="H21" i="13" s="1"/>
  <c r="N20" i="13"/>
  <c r="M20" i="13"/>
  <c r="K20" i="13"/>
  <c r="G20" i="13"/>
  <c r="H20" i="13" s="1"/>
  <c r="L20" i="13" s="1"/>
  <c r="O20" i="13" s="1"/>
  <c r="G19" i="13"/>
  <c r="H19" i="13" s="1"/>
  <c r="N18" i="13"/>
  <c r="M18" i="13"/>
  <c r="K18" i="13"/>
  <c r="L18" i="13" s="1"/>
  <c r="O18" i="13" s="1"/>
  <c r="G18" i="13"/>
  <c r="H18" i="13" s="1"/>
  <c r="K17" i="13"/>
  <c r="K19" i="13" s="1"/>
  <c r="G17" i="13"/>
  <c r="H17" i="13" s="1"/>
  <c r="M16" i="13"/>
  <c r="N16" i="13" s="1"/>
  <c r="K16" i="13"/>
  <c r="G16" i="13"/>
  <c r="H16" i="13" s="1"/>
  <c r="M15" i="13"/>
  <c r="M17" i="13" s="1"/>
  <c r="K15" i="13"/>
  <c r="L15" i="13" s="1"/>
  <c r="H15" i="13"/>
  <c r="G15" i="13"/>
  <c r="M14" i="13"/>
  <c r="N14" i="13" s="1"/>
  <c r="K14" i="13"/>
  <c r="L14" i="13" s="1"/>
  <c r="O14" i="13" s="1"/>
  <c r="G14" i="13"/>
  <c r="H14" i="13" s="1"/>
  <c r="M13" i="13"/>
  <c r="N13" i="13" s="1"/>
  <c r="K13" i="13"/>
  <c r="H13" i="13"/>
  <c r="L13" i="13" s="1"/>
  <c r="G13" i="13"/>
  <c r="L39" i="13" l="1"/>
  <c r="O39" i="13" s="1"/>
  <c r="L47" i="13"/>
  <c r="O47" i="13" s="1"/>
  <c r="N17" i="13"/>
  <c r="M19" i="13"/>
  <c r="L33" i="13"/>
  <c r="O33" i="13" s="1"/>
  <c r="C54" i="13" s="1"/>
  <c r="L16" i="13"/>
  <c r="O16" i="13" s="1"/>
  <c r="O13" i="13"/>
  <c r="L38" i="13"/>
  <c r="O38" i="13" s="1"/>
  <c r="O40" i="13"/>
  <c r="O36" i="13"/>
  <c r="O48" i="13"/>
  <c r="C57" i="13" s="1"/>
  <c r="N42" i="13"/>
  <c r="M44" i="13"/>
  <c r="L19" i="13"/>
  <c r="K21" i="13"/>
  <c r="L46" i="13"/>
  <c r="L43" i="13"/>
  <c r="O43" i="13" s="1"/>
  <c r="N15" i="13"/>
  <c r="O15" i="13" s="1"/>
  <c r="L17" i="13"/>
  <c r="N24" i="13"/>
  <c r="O24" i="13" s="1"/>
  <c r="K42" i="13"/>
  <c r="N41" i="13"/>
  <c r="O41" i="13" s="1"/>
  <c r="N19" i="13" l="1"/>
  <c r="M21" i="13"/>
  <c r="M45" i="13"/>
  <c r="N44" i="13"/>
  <c r="K22" i="13"/>
  <c r="L21" i="13"/>
  <c r="O19" i="13"/>
  <c r="K44" i="13"/>
  <c r="L42" i="13"/>
  <c r="O42" i="13" s="1"/>
  <c r="O17" i="13"/>
  <c r="L22" i="13" l="1"/>
  <c r="K23" i="13"/>
  <c r="L44" i="13"/>
  <c r="O44" i="13" s="1"/>
  <c r="C56" i="13" s="1"/>
  <c r="K45" i="13"/>
  <c r="L45" i="13" s="1"/>
  <c r="O45" i="13" s="1"/>
  <c r="M46" i="13"/>
  <c r="N46" i="13" s="1"/>
  <c r="O46" i="13" s="1"/>
  <c r="N45" i="13"/>
  <c r="M22" i="13"/>
  <c r="N21" i="13"/>
  <c r="O21" i="13" s="1"/>
  <c r="N22" i="13" l="1"/>
  <c r="O22" i="13" s="1"/>
  <c r="M23" i="13"/>
  <c r="L23" i="13"/>
  <c r="K25" i="13"/>
  <c r="L25" i="13" l="1"/>
  <c r="K26" i="13"/>
  <c r="O23" i="13"/>
  <c r="N23" i="13"/>
  <c r="M25" i="13"/>
  <c r="O25" i="13" l="1"/>
  <c r="N25" i="13"/>
  <c r="M26" i="13"/>
  <c r="K27" i="13"/>
  <c r="L26" i="13"/>
  <c r="O26" i="13" l="1"/>
  <c r="L27" i="13"/>
  <c r="K28" i="13"/>
  <c r="M27" i="13"/>
  <c r="N26" i="13"/>
  <c r="N27" i="13" l="1"/>
  <c r="O27" i="13" s="1"/>
  <c r="M28" i="13"/>
  <c r="K29" i="13"/>
  <c r="L28" i="13"/>
  <c r="M29" i="13" l="1"/>
  <c r="N28" i="13"/>
  <c r="O28" i="13" s="1"/>
  <c r="K31" i="13"/>
  <c r="L29" i="13"/>
  <c r="L31" i="13" l="1"/>
  <c r="K32" i="13"/>
  <c r="L32" i="13" s="1"/>
  <c r="O32" i="13" s="1"/>
  <c r="O29" i="13"/>
  <c r="M30" i="13"/>
  <c r="N29" i="13"/>
  <c r="N30" i="13" l="1"/>
  <c r="O30" i="13" s="1"/>
  <c r="M31" i="13"/>
  <c r="N31" i="13" s="1"/>
  <c r="O31" i="13" s="1"/>
  <c r="C53" i="13" s="1"/>
  <c r="C58" i="13" s="1"/>
  <c r="K30" i="4" l="1"/>
  <c r="F40" i="4" s="1"/>
  <c r="K31" i="4"/>
  <c r="J28" i="4"/>
  <c r="F28" i="4"/>
  <c r="C30" i="4"/>
  <c r="C31" i="4"/>
  <c r="C32" i="4"/>
  <c r="C33" i="4"/>
  <c r="C29" i="4"/>
  <c r="C28" i="4"/>
  <c r="D28" i="4"/>
  <c r="AN8" i="4"/>
  <c r="K22" i="4" s="1"/>
  <c r="Y22" i="4" s="1"/>
  <c r="Z22" i="4" s="1"/>
  <c r="AA22" i="4" s="1"/>
  <c r="J33" i="4" s="1"/>
  <c r="K33" i="4" s="1"/>
  <c r="F41" i="4" s="1"/>
  <c r="AN5" i="4"/>
  <c r="K19" i="4" s="1"/>
  <c r="Y19" i="4" s="1"/>
  <c r="Z19" i="4" s="1"/>
  <c r="AA19" i="4" s="1"/>
  <c r="J30" i="4" s="1"/>
  <c r="AN6" i="4"/>
  <c r="K20" i="4" s="1"/>
  <c r="Y20" i="4" s="1"/>
  <c r="Z20" i="4" s="1"/>
  <c r="AA20" i="4" s="1"/>
  <c r="J31" i="4" s="1"/>
  <c r="AN4" i="4"/>
  <c r="K18" i="4" s="1"/>
  <c r="Y18" i="4" s="1"/>
  <c r="Z18" i="4" s="1"/>
  <c r="AA18" i="4" s="1"/>
  <c r="J29" i="4" s="1"/>
  <c r="K29" i="4" s="1"/>
  <c r="K17" i="4"/>
  <c r="J17" i="4"/>
  <c r="I17" i="4"/>
  <c r="H17" i="4"/>
  <c r="I5" i="8"/>
  <c r="I6" i="8" s="1"/>
  <c r="AC13" i="8"/>
  <c r="Q4" i="4" a="1"/>
  <c r="Q4" i="4" s="1"/>
  <c r="R4" i="4" a="1"/>
  <c r="R4" i="4" s="1"/>
  <c r="S4" i="4" a="1"/>
  <c r="S4" i="4" s="1"/>
  <c r="T4" i="4" a="1"/>
  <c r="T4" i="4" s="1"/>
  <c r="P4" i="4" a="1"/>
  <c r="P4" i="4" s="1"/>
  <c r="O4" i="4" a="1"/>
  <c r="O4" i="4" s="1"/>
  <c r="D17" i="4"/>
  <c r="F17" i="4"/>
  <c r="E17" i="4"/>
  <c r="J22" i="8"/>
  <c r="O22" i="8" s="1"/>
  <c r="I22" i="8"/>
  <c r="N22" i="8" s="1"/>
  <c r="J12" i="8"/>
  <c r="O12" i="8" s="1"/>
  <c r="I12" i="8"/>
  <c r="N12" i="8" s="1"/>
  <c r="S12" i="8" s="1"/>
  <c r="C17" i="4"/>
  <c r="B17" i="4"/>
  <c r="AB6" i="6"/>
  <c r="AB7" i="6"/>
  <c r="AB8" i="6"/>
  <c r="AB9" i="6"/>
  <c r="S32" i="8" s="1"/>
  <c r="AB10" i="6"/>
  <c r="AE10" i="6" s="1"/>
  <c r="AB11" i="6"/>
  <c r="AF11" i="6" s="1"/>
  <c r="AB12" i="6"/>
  <c r="AF12" i="6" s="1"/>
  <c r="AB13" i="6"/>
  <c r="AB14" i="6"/>
  <c r="AB15" i="6"/>
  <c r="AF15" i="6" s="1"/>
  <c r="AB16" i="6"/>
  <c r="AF16" i="6" s="1"/>
  <c r="AB17" i="6"/>
  <c r="AF17" i="6" s="1"/>
  <c r="AB18" i="6"/>
  <c r="AF18" i="6" s="1"/>
  <c r="AB19" i="6"/>
  <c r="AB5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AG7" i="6"/>
  <c r="AG6" i="6"/>
  <c r="C4" i="11" a="1"/>
  <c r="C4" i="11" s="1"/>
  <c r="D4" i="11" a="1"/>
  <c r="D4" i="11" s="1"/>
  <c r="E4" i="11" a="1"/>
  <c r="E4" i="11" s="1"/>
  <c r="F4" i="11" a="1"/>
  <c r="F4" i="11" s="1"/>
  <c r="G4" i="11" a="1"/>
  <c r="G4" i="11" s="1"/>
  <c r="H4" i="11" a="1"/>
  <c r="H4" i="11" s="1"/>
  <c r="I4" i="11" a="1"/>
  <c r="I4" i="11" s="1"/>
  <c r="J4" i="11" a="1"/>
  <c r="J4" i="11" s="1"/>
  <c r="K4" i="11" a="1"/>
  <c r="K4" i="11" s="1"/>
  <c r="L4" i="11" a="1"/>
  <c r="L4" i="11" s="1"/>
  <c r="M4" i="11" a="1"/>
  <c r="M4" i="11" s="1"/>
  <c r="N4" i="11" a="1"/>
  <c r="N4" i="11" s="1"/>
  <c r="O4" i="11" a="1"/>
  <c r="O4" i="11" s="1"/>
  <c r="P4" i="11" a="1"/>
  <c r="P4" i="11" s="1"/>
  <c r="Q4" i="11" a="1"/>
  <c r="Q4" i="11" s="1"/>
  <c r="R4" i="11" a="1"/>
  <c r="R4" i="11" s="1"/>
  <c r="S4" i="11" a="1"/>
  <c r="S4" i="11" s="1"/>
  <c r="T4" i="11" a="1"/>
  <c r="T4" i="11" s="1"/>
  <c r="U4" i="11" a="1"/>
  <c r="U4" i="11" s="1"/>
  <c r="V4" i="11" a="1"/>
  <c r="V4" i="11" s="1"/>
  <c r="W4" i="11" a="1"/>
  <c r="W4" i="11" s="1"/>
  <c r="X4" i="11" a="1"/>
  <c r="X4" i="11" s="1"/>
  <c r="Y4" i="11" a="1"/>
  <c r="Y4" i="11" s="1"/>
  <c r="Z4" i="11" a="1"/>
  <c r="Z4" i="11" s="1"/>
  <c r="AA4" i="11" a="1"/>
  <c r="AA4" i="11" s="1"/>
  <c r="AB4" i="11" a="1"/>
  <c r="AB4" i="11" s="1"/>
  <c r="AC4" i="11" a="1"/>
  <c r="AC4" i="11" s="1"/>
  <c r="AD4" i="11" a="1"/>
  <c r="AD4" i="11" s="1"/>
  <c r="B4" i="11" a="1"/>
  <c r="B4" i="11" s="1"/>
  <c r="B4" i="10" a="1"/>
  <c r="B4" i="10" s="1"/>
  <c r="C4" i="10" a="1"/>
  <c r="C4" i="10" s="1"/>
  <c r="D4" i="10" a="1"/>
  <c r="D4" i="10" s="1"/>
  <c r="E4" i="10" a="1"/>
  <c r="E4" i="10" s="1"/>
  <c r="F4" i="10" a="1"/>
  <c r="F4" i="10" s="1"/>
  <c r="G4" i="10" a="1"/>
  <c r="G4" i="10" s="1"/>
  <c r="H4" i="10" a="1"/>
  <c r="H4" i="10" s="1"/>
  <c r="I4" i="10" a="1"/>
  <c r="I4" i="10" s="1"/>
  <c r="J4" i="10" a="1"/>
  <c r="J4" i="10" s="1"/>
  <c r="K4" i="10" a="1"/>
  <c r="K4" i="10" s="1"/>
  <c r="L4" i="10" a="1"/>
  <c r="L4" i="10" s="1"/>
  <c r="M4" i="10" a="1"/>
  <c r="M4" i="10" s="1"/>
  <c r="N4" i="10" a="1"/>
  <c r="N4" i="10" s="1"/>
  <c r="O4" i="10" a="1"/>
  <c r="O4" i="10" s="1"/>
  <c r="P4" i="10" a="1"/>
  <c r="P4" i="10" s="1"/>
  <c r="Q4" i="10" a="1"/>
  <c r="Q4" i="10" s="1"/>
  <c r="V4" i="10" a="1"/>
  <c r="V4" i="10" s="1"/>
  <c r="W4" i="10" a="1"/>
  <c r="W4" i="10" s="1"/>
  <c r="R4" i="10" a="1"/>
  <c r="R4" i="10" s="1"/>
  <c r="X4" i="10" a="1"/>
  <c r="X4" i="10" s="1"/>
  <c r="Y4" i="10" a="1"/>
  <c r="Y4" i="10" s="1"/>
  <c r="Z4" i="10" a="1"/>
  <c r="Z4" i="10" s="1"/>
  <c r="AA4" i="10" a="1"/>
  <c r="AA4" i="10" s="1"/>
  <c r="S4" i="10" a="1"/>
  <c r="S4" i="10" s="1"/>
  <c r="T4" i="10" a="1"/>
  <c r="T4" i="10" s="1"/>
  <c r="U4" i="10" a="1"/>
  <c r="U4" i="10" s="1"/>
  <c r="B4" i="9" a="1"/>
  <c r="B4" i="9" s="1"/>
  <c r="E4" i="9" a="1"/>
  <c r="E4" i="9" s="1"/>
  <c r="C4" i="9" a="1"/>
  <c r="C4" i="9" s="1"/>
  <c r="D4" i="9" a="1"/>
  <c r="D4" i="9" s="1"/>
  <c r="F4" i="9" a="1"/>
  <c r="F4" i="9" s="1"/>
  <c r="G4" i="9" a="1"/>
  <c r="G4" i="9" s="1"/>
  <c r="P4" i="9" a="1"/>
  <c r="P4" i="9" s="1"/>
  <c r="Q4" i="9" a="1"/>
  <c r="Q4" i="9" s="1"/>
  <c r="H4" i="9" a="1"/>
  <c r="H4" i="9" s="1"/>
  <c r="R4" i="9" a="1"/>
  <c r="R4" i="9" s="1"/>
  <c r="S4" i="9" a="1"/>
  <c r="S4" i="9" s="1"/>
  <c r="I4" i="9" a="1"/>
  <c r="I4" i="9" s="1"/>
  <c r="J4" i="9" a="1"/>
  <c r="J4" i="9" s="1"/>
  <c r="K4" i="9" a="1"/>
  <c r="K4" i="9" s="1"/>
  <c r="L4" i="9" a="1"/>
  <c r="L4" i="9" s="1"/>
  <c r="T4" i="9" a="1"/>
  <c r="T4" i="9" s="1"/>
  <c r="U4" i="9" a="1"/>
  <c r="U4" i="9" s="1"/>
  <c r="V4" i="9" a="1"/>
  <c r="V4" i="9" s="1"/>
  <c r="W4" i="9" a="1"/>
  <c r="W4" i="9" s="1"/>
  <c r="X4" i="9" a="1"/>
  <c r="X4" i="9" s="1"/>
  <c r="Y4" i="9" a="1"/>
  <c r="Y4" i="9" s="1"/>
  <c r="Z4" i="9" a="1"/>
  <c r="Z4" i="9" s="1"/>
  <c r="M4" i="9" a="1"/>
  <c r="M4" i="9" s="1"/>
  <c r="N4" i="9" a="1"/>
  <c r="N4" i="9" s="1"/>
  <c r="O4" i="9" a="1"/>
  <c r="O4" i="9" s="1"/>
  <c r="B4" i="4" a="1"/>
  <c r="B4" i="4" s="1"/>
  <c r="B18" i="4" s="1"/>
  <c r="K4" i="7" a="1"/>
  <c r="K4" i="7" s="1"/>
  <c r="L4" i="7" a="1"/>
  <c r="L4" i="7" s="1"/>
  <c r="M4" i="7" a="1"/>
  <c r="M4" i="7" s="1"/>
  <c r="U4" i="7" a="1"/>
  <c r="U4" i="7" s="1"/>
  <c r="V4" i="7" a="1"/>
  <c r="V4" i="7" s="1"/>
  <c r="W4" i="7" a="1"/>
  <c r="W4" i="7" s="1"/>
  <c r="X4" i="7" a="1"/>
  <c r="X4" i="7" s="1"/>
  <c r="N4" i="7" a="1"/>
  <c r="N4" i="7" s="1"/>
  <c r="D4" i="7" a="1"/>
  <c r="D4" i="7" s="1"/>
  <c r="E4" i="7" a="1"/>
  <c r="E4" i="7" s="1"/>
  <c r="F4" i="7" a="1"/>
  <c r="F4" i="7" s="1"/>
  <c r="G4" i="7" a="1"/>
  <c r="H4" i="7" a="1"/>
  <c r="H4" i="7" s="1"/>
  <c r="I4" i="7" a="1"/>
  <c r="I4" i="7" s="1"/>
  <c r="J4" i="7" a="1"/>
  <c r="J4" i="7" s="1"/>
  <c r="O4" i="7" a="1"/>
  <c r="O4" i="7" s="1"/>
  <c r="P4" i="7" a="1"/>
  <c r="P4" i="7" s="1"/>
  <c r="Y4" i="7" a="1"/>
  <c r="Y4" i="7" s="1"/>
  <c r="C4" i="7" a="1"/>
  <c r="C4" i="7" s="1"/>
  <c r="B4" i="7" a="1"/>
  <c r="B4" i="7" s="1"/>
  <c r="Z4" i="4" a="1"/>
  <c r="Z4" i="4" s="1"/>
  <c r="D18" i="4" s="1"/>
  <c r="AA4" i="4" a="1"/>
  <c r="AA4" i="4" s="1"/>
  <c r="F18" i="4" s="1"/>
  <c r="Y4" i="4" a="1"/>
  <c r="Y4" i="4" s="1"/>
  <c r="W4" i="4" a="1"/>
  <c r="W4" i="4" s="1"/>
  <c r="X4" i="4" a="1"/>
  <c r="X4" i="4" s="1"/>
  <c r="V4" i="4" a="1"/>
  <c r="V4" i="4" s="1"/>
  <c r="K4" i="4" a="1"/>
  <c r="K4" i="4" s="1"/>
  <c r="L4" i="4" a="1"/>
  <c r="L4" i="4" s="1"/>
  <c r="M4" i="4" a="1"/>
  <c r="M4" i="4" s="1"/>
  <c r="N4" i="4" a="1"/>
  <c r="N4" i="4" s="1"/>
  <c r="U4" i="4" a="1"/>
  <c r="U4" i="4" s="1"/>
  <c r="H4" i="4" a="1"/>
  <c r="H4" i="4" s="1"/>
  <c r="I4" i="4" a="1"/>
  <c r="I4" i="4" s="1"/>
  <c r="J4" i="4" a="1"/>
  <c r="J4" i="4" s="1"/>
  <c r="F4" i="4" a="1"/>
  <c r="F4" i="4" s="1"/>
  <c r="G4" i="4" a="1"/>
  <c r="G4" i="4" s="1"/>
  <c r="AD4" i="4" s="1"/>
  <c r="E4" i="4" a="1"/>
  <c r="E4" i="4" s="1"/>
  <c r="E18" i="4" s="1"/>
  <c r="B39" i="4" s="1"/>
  <c r="C47" i="4" s="1"/>
  <c r="D4" i="4" a="1"/>
  <c r="D4" i="4" s="1"/>
  <c r="AF4" i="4" s="1"/>
  <c r="AG4" i="4" s="1"/>
  <c r="C4" i="4" a="1"/>
  <c r="C4" i="4" s="1"/>
  <c r="AC4" i="4" s="1"/>
  <c r="G4" i="7" l="1"/>
  <c r="T4" i="7" s="1"/>
  <c r="T5" i="7"/>
  <c r="T6" i="7"/>
  <c r="T7" i="7"/>
  <c r="T9" i="7"/>
  <c r="T8" i="7"/>
  <c r="I7" i="8"/>
  <c r="B48" i="4"/>
  <c r="B29" i="4"/>
  <c r="B28" i="4"/>
  <c r="S26" i="8"/>
  <c r="S23" i="8"/>
  <c r="S17" i="8"/>
  <c r="S36" i="8" s="1"/>
  <c r="S19" i="8"/>
  <c r="S25" i="8"/>
  <c r="S13" i="8"/>
  <c r="S14" i="8"/>
  <c r="S15" i="8"/>
  <c r="S16" i="8"/>
  <c r="AL4" i="4"/>
  <c r="J18" i="4" s="1"/>
  <c r="U18" i="4" s="1"/>
  <c r="V18" i="4" s="1"/>
  <c r="W18" i="4" s="1"/>
  <c r="H29" i="4" s="1"/>
  <c r="I29" i="4" s="1"/>
  <c r="S18" i="8"/>
  <c r="W13" i="8" s="1"/>
  <c r="X13" i="8" s="1"/>
  <c r="Y13" i="8" s="1"/>
  <c r="Z13" i="8" s="1"/>
  <c r="S21" i="8"/>
  <c r="S22" i="8"/>
  <c r="E20" i="4"/>
  <c r="B40" i="4" s="1"/>
  <c r="E21" i="4"/>
  <c r="E19" i="4"/>
  <c r="F20" i="4"/>
  <c r="F22" i="4"/>
  <c r="F21" i="4"/>
  <c r="AL8" i="4"/>
  <c r="J22" i="4" s="1"/>
  <c r="U22" i="4" s="1"/>
  <c r="V22" i="4" s="1"/>
  <c r="W22" i="4" s="1"/>
  <c r="H33" i="4" s="1"/>
  <c r="I33" i="4" s="1"/>
  <c r="E41" i="4" s="1"/>
  <c r="AL7" i="4"/>
  <c r="J21" i="4" s="1"/>
  <c r="U21" i="4" s="1"/>
  <c r="V21" i="4" s="1"/>
  <c r="W21" i="4" s="1"/>
  <c r="H32" i="4" s="1"/>
  <c r="I32" i="4" s="1"/>
  <c r="AJ4" i="4"/>
  <c r="I18" i="4" s="1"/>
  <c r="Q18" i="4" s="1"/>
  <c r="R18" i="4" s="1"/>
  <c r="AJ8" i="4"/>
  <c r="I22" i="4" s="1"/>
  <c r="Q22" i="4" s="1"/>
  <c r="R22" i="4" s="1"/>
  <c r="F19" i="4"/>
  <c r="AJ7" i="4"/>
  <c r="I21" i="4" s="1"/>
  <c r="Q21" i="4" s="1"/>
  <c r="R21" i="4" s="1"/>
  <c r="AH4" i="4"/>
  <c r="H18" i="4" s="1"/>
  <c r="E22" i="4"/>
  <c r="B41" i="4" s="1"/>
  <c r="C14" i="8"/>
  <c r="C20" i="4"/>
  <c r="B20" i="4"/>
  <c r="D19" i="4"/>
  <c r="D20" i="4"/>
  <c r="B19" i="4"/>
  <c r="D21" i="4"/>
  <c r="D22" i="4"/>
  <c r="C18" i="4"/>
  <c r="C21" i="4"/>
  <c r="C22" i="4"/>
  <c r="C19" i="4"/>
  <c r="B21" i="4"/>
  <c r="B22" i="4"/>
  <c r="AF14" i="6"/>
  <c r="AE14" i="6"/>
  <c r="AF9" i="6"/>
  <c r="S34" i="8" s="1"/>
  <c r="AE9" i="6"/>
  <c r="AH9" i="6" s="1"/>
  <c r="S35" i="8" s="1"/>
  <c r="AB13" i="8" s="1"/>
  <c r="AD13" i="8" s="1"/>
  <c r="AE8" i="6"/>
  <c r="AF8" i="6"/>
  <c r="AF19" i="6"/>
  <c r="AE19" i="6"/>
  <c r="AE7" i="6"/>
  <c r="AH8" i="6" s="1"/>
  <c r="AF7" i="6"/>
  <c r="AF13" i="6"/>
  <c r="AE13" i="6"/>
  <c r="AE6" i="6"/>
  <c r="AF6" i="6"/>
  <c r="AF10" i="6"/>
  <c r="AE11" i="6"/>
  <c r="AH11" i="6" s="1"/>
  <c r="AE17" i="6"/>
  <c r="AF5" i="6"/>
  <c r="AE5" i="6"/>
  <c r="AE18" i="6"/>
  <c r="AH19" i="6" s="1"/>
  <c r="AE12" i="6"/>
  <c r="AE16" i="6"/>
  <c r="AE15" i="6"/>
  <c r="AE4" i="4"/>
  <c r="AB4" i="4" a="1"/>
  <c r="AB4" i="4" s="1"/>
  <c r="D18" i="8"/>
  <c r="J18" i="8" s="1"/>
  <c r="O18" i="8" s="1"/>
  <c r="C18" i="8"/>
  <c r="I18" i="8" s="1"/>
  <c r="N18" i="8" s="1"/>
  <c r="D15" i="8"/>
  <c r="J15" i="8" s="1"/>
  <c r="O15" i="8" s="1"/>
  <c r="C15" i="8"/>
  <c r="I15" i="8" s="1"/>
  <c r="N15" i="8" s="1"/>
  <c r="J14" i="8"/>
  <c r="O14" i="8" s="1"/>
  <c r="D13" i="8"/>
  <c r="J13" i="8" s="1"/>
  <c r="O13" i="8" s="1"/>
  <c r="C13" i="8"/>
  <c r="I13" i="8" s="1"/>
  <c r="N13" i="8" s="1"/>
  <c r="AF8" i="4"/>
  <c r="AG8" i="4" s="1"/>
  <c r="AH8" i="4" s="1"/>
  <c r="H22" i="4" s="1"/>
  <c r="AF7" i="4"/>
  <c r="AG7" i="4" s="1"/>
  <c r="AH7" i="4" s="1"/>
  <c r="H21" i="4" s="1"/>
  <c r="AF6" i="4"/>
  <c r="AF5" i="4"/>
  <c r="AE8" i="4"/>
  <c r="AE7" i="4"/>
  <c r="AE6" i="4"/>
  <c r="AE5" i="4"/>
  <c r="AB8" i="4" a="1"/>
  <c r="AB8" i="4" s="1"/>
  <c r="AC8" i="4"/>
  <c r="AC7" i="4"/>
  <c r="AC6" i="4"/>
  <c r="AC5" i="4"/>
  <c r="AD8" i="4"/>
  <c r="AD7" i="4"/>
  <c r="AD6" i="4"/>
  <c r="D19" i="8" s="1"/>
  <c r="AD5" i="4"/>
  <c r="C19" i="8" s="1"/>
  <c r="AH14" i="6" l="1"/>
  <c r="AH10" i="6"/>
  <c r="S33" i="8"/>
  <c r="S21" i="4"/>
  <c r="F32" i="4" s="1"/>
  <c r="G32" i="4" s="1"/>
  <c r="E47" i="4"/>
  <c r="B50" i="4"/>
  <c r="D47" i="4"/>
  <c r="B49" i="4"/>
  <c r="S22" i="4"/>
  <c r="F33" i="4" s="1"/>
  <c r="G33" i="4" s="1"/>
  <c r="D41" i="4" s="1"/>
  <c r="S18" i="4"/>
  <c r="F29" i="4" s="1"/>
  <c r="G29" i="4" s="1"/>
  <c r="AE13" i="8"/>
  <c r="B31" i="4"/>
  <c r="B33" i="4"/>
  <c r="B30" i="4"/>
  <c r="B32" i="4"/>
  <c r="M21" i="4"/>
  <c r="N21" i="4" s="1"/>
  <c r="O21" i="4" s="1"/>
  <c r="D32" i="4" s="1"/>
  <c r="E32" i="4" s="1"/>
  <c r="M22" i="4"/>
  <c r="N22" i="4" s="1"/>
  <c r="O22" i="4" s="1"/>
  <c r="D33" i="4" s="1"/>
  <c r="E33" i="4" s="1"/>
  <c r="C41" i="4" s="1"/>
  <c r="M18" i="4"/>
  <c r="N18" i="4" s="1"/>
  <c r="O18" i="4" s="1"/>
  <c r="D29" i="4" s="1"/>
  <c r="E29" i="4" s="1"/>
  <c r="S40" i="8"/>
  <c r="S41" i="8"/>
  <c r="I14" i="8"/>
  <c r="N14" i="8" s="1"/>
  <c r="N25" i="8" s="1"/>
  <c r="C5" i="8"/>
  <c r="H34" i="8"/>
  <c r="O40" i="8" s="1"/>
  <c r="G34" i="8"/>
  <c r="N40" i="8" s="1"/>
  <c r="AB7" i="4" a="1"/>
  <c r="AB7" i="4" s="1"/>
  <c r="S20" i="8"/>
  <c r="J19" i="8"/>
  <c r="O19" i="8" s="1"/>
  <c r="O25" i="8"/>
  <c r="O26" i="8"/>
  <c r="I19" i="8"/>
  <c r="N19" i="8" s="1"/>
  <c r="AH13" i="6"/>
  <c r="AH17" i="6"/>
  <c r="AH12" i="6"/>
  <c r="AH16" i="6"/>
  <c r="AH7" i="6"/>
  <c r="AH6" i="6"/>
  <c r="AH18" i="6"/>
  <c r="AH15" i="6"/>
  <c r="C17" i="8"/>
  <c r="I17" i="8" s="1"/>
  <c r="N17" i="8" s="1"/>
  <c r="D17" i="8"/>
  <c r="J17" i="8" s="1"/>
  <c r="O17" i="8" s="1"/>
  <c r="AB6" i="4" a="1"/>
  <c r="AB6" i="4" s="1"/>
  <c r="D16" i="8" s="1"/>
  <c r="AB5" i="4" a="1"/>
  <c r="AB5" i="4" s="1"/>
  <c r="C16" i="8" s="1"/>
  <c r="I16" i="8" s="1"/>
  <c r="N16" i="8" s="1"/>
  <c r="AF13" i="8" l="1"/>
  <c r="AG13" i="8" s="1"/>
  <c r="W16" i="8" s="1"/>
  <c r="AA13" i="8"/>
  <c r="N26" i="8"/>
  <c r="C7" i="8"/>
  <c r="C6" i="8"/>
  <c r="J16" i="8"/>
  <c r="O16" i="8" s="1"/>
  <c r="D20" i="8"/>
  <c r="O20" i="8" s="1"/>
  <c r="O21" i="8" s="1"/>
  <c r="O23" i="8" s="1"/>
  <c r="D34" i="8" s="1"/>
  <c r="C20" i="8"/>
  <c r="N20" i="8" s="1"/>
  <c r="N21" i="8" s="1"/>
  <c r="N23" i="8" s="1"/>
  <c r="C34" i="8" s="1"/>
  <c r="S38" i="8" l="1"/>
  <c r="W18" i="8" s="1"/>
  <c r="S37" i="8"/>
  <c r="W17" i="8" s="1"/>
  <c r="D21" i="8"/>
  <c r="J20" i="8"/>
  <c r="C21" i="8"/>
  <c r="I20" i="8"/>
  <c r="I21" i="8" s="1"/>
  <c r="D22" i="8"/>
  <c r="C22" i="8"/>
  <c r="W19" i="8" l="1"/>
  <c r="AM7" i="4" s="1"/>
  <c r="AN7" i="4" s="1"/>
  <c r="K21" i="4" s="1"/>
  <c r="Y21" i="4" s="1"/>
  <c r="Z21" i="4" s="1"/>
  <c r="AA21" i="4" s="1"/>
  <c r="J32" i="4" s="1"/>
  <c r="K32" i="4" s="1"/>
  <c r="F39" i="4" s="1"/>
  <c r="C56" i="4" s="1"/>
  <c r="C62" i="4" s="1"/>
  <c r="J21" i="8"/>
  <c r="J23" i="8" s="1"/>
  <c r="I23" i="8"/>
  <c r="D23" i="8"/>
  <c r="D28" i="8" s="1"/>
  <c r="D25" i="8"/>
  <c r="C23" i="8"/>
  <c r="C28" i="8" s="1"/>
  <c r="C25" i="8"/>
  <c r="J24" i="8" l="1"/>
  <c r="AI6" i="4" s="1"/>
  <c r="AJ6" i="4" s="1"/>
  <c r="I20" i="4" s="1"/>
  <c r="Q20" i="4" s="1"/>
  <c r="D33" i="8"/>
  <c r="O42" i="8" s="1"/>
  <c r="I24" i="8"/>
  <c r="AI5" i="4" s="1"/>
  <c r="AJ5" i="4" s="1"/>
  <c r="I19" i="4" s="1"/>
  <c r="Q19" i="4" s="1"/>
  <c r="C33" i="8"/>
  <c r="N42" i="8" s="1"/>
  <c r="N43" i="8" s="1"/>
  <c r="O34" i="8"/>
  <c r="O35" i="8"/>
  <c r="N34" i="8"/>
  <c r="N35" i="8"/>
  <c r="D31" i="8"/>
  <c r="O27" i="8"/>
  <c r="C31" i="8"/>
  <c r="N27" i="8"/>
  <c r="D26" i="8"/>
  <c r="D32" i="8"/>
  <c r="C26" i="8"/>
  <c r="C32" i="8"/>
  <c r="AG5" i="4"/>
  <c r="AH5" i="4" s="1"/>
  <c r="H19" i="4" s="1"/>
  <c r="AG6" i="4"/>
  <c r="AH6" i="4" s="1"/>
  <c r="H20" i="4" s="1"/>
  <c r="M20" i="4" l="1"/>
  <c r="N20" i="4" s="1"/>
  <c r="O20" i="4" s="1"/>
  <c r="D31" i="4" s="1"/>
  <c r="E31" i="4" s="1"/>
  <c r="C40" i="4" s="1"/>
  <c r="M19" i="4"/>
  <c r="N19" i="4" s="1"/>
  <c r="O19" i="4" s="1"/>
  <c r="D30" i="4" s="1"/>
  <c r="E30" i="4" s="1"/>
  <c r="C39" i="4" s="1"/>
  <c r="AK6" i="4"/>
  <c r="AL6" i="4" s="1"/>
  <c r="J20" i="4" s="1"/>
  <c r="O43" i="8"/>
  <c r="AK5" i="4"/>
  <c r="AL5" i="4" s="1"/>
  <c r="J19" i="4" s="1"/>
  <c r="N31" i="8"/>
  <c r="N37" i="8" s="1"/>
  <c r="N32" i="8"/>
  <c r="N38" i="8" s="1"/>
  <c r="O31" i="8"/>
  <c r="O37" i="8" s="1"/>
  <c r="O32" i="8"/>
  <c r="O38" i="8" s="1"/>
  <c r="C53" i="4" l="1" a="1"/>
  <c r="C53" i="4" s="1"/>
  <c r="U19" i="4"/>
  <c r="V19" i="4" s="1"/>
  <c r="W19" i="4" s="1"/>
  <c r="H30" i="4" s="1"/>
  <c r="I30" i="4" s="1"/>
  <c r="E39" i="4" s="1"/>
  <c r="U20" i="4"/>
  <c r="V20" i="4" s="1"/>
  <c r="W20" i="4" s="1"/>
  <c r="H31" i="4" s="1"/>
  <c r="I31" i="4" s="1"/>
  <c r="E40" i="4" s="1"/>
  <c r="R19" i="4"/>
  <c r="S19" i="4" s="1"/>
  <c r="F30" i="4" s="1"/>
  <c r="G30" i="4" s="1"/>
  <c r="D39" i="4" s="1"/>
  <c r="R20" i="4"/>
  <c r="S20" i="4" s="1"/>
  <c r="F31" i="4" s="1"/>
  <c r="G31" i="4" s="1"/>
  <c r="D40" i="4" s="1"/>
  <c r="C55" i="4" l="1" a="1"/>
  <c r="C55" i="4" s="1"/>
  <c r="C54" i="4" a="1"/>
  <c r="C54" i="4" s="1"/>
  <c r="C60" i="4" l="1"/>
  <c r="C7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<sst xmlns="http://schemas.openxmlformats.org/spreadsheetml/2006/main" count="2447" uniqueCount="848">
  <si>
    <t>#</t>
  </si>
  <si>
    <t>Trade/ Transaction details</t>
  </si>
  <si>
    <t>Currency</t>
  </si>
  <si>
    <t>Notional /Amount</t>
  </si>
  <si>
    <t>Trade date</t>
  </si>
  <si>
    <t>Maturity/ Expiry</t>
  </si>
  <si>
    <t>Strike/Rate/ other input</t>
  </si>
  <si>
    <t>Counterparty</t>
  </si>
  <si>
    <t>Bank buys a forward on the S&amp;P 500 Index at a forward level of
$5250. Current  S&amp; P 500 level is $5100</t>
  </si>
  <si>
    <t>USD</t>
  </si>
  <si>
    <t>$25 million</t>
  </si>
  <si>
    <t>Bank A</t>
  </si>
  <si>
    <t>Bank buys  a 1 year call option on the S&amp;P 500 index. The index is 
currently at $5000 and the bank pays a premium for the option</t>
  </si>
  <si>
    <t>$10 million</t>
  </si>
  <si>
    <t>Strike: $5200;
current index: $5000</t>
  </si>
  <si>
    <t>Bank B</t>
  </si>
  <si>
    <t>Bank buys a 6 month put option on the Euro Stoxx 50 index to 
protect againts a fall in the equity index</t>
  </si>
  <si>
    <t>EUR</t>
  </si>
  <si>
    <t>EUR 12 million</t>
  </si>
  <si>
    <t>Strike : EUR 5000;
Current Index: EUR 5250</t>
  </si>
  <si>
    <t>Bank C</t>
  </si>
  <si>
    <t>Bank receives the total return of the S&amp;P 500 Index and pays a 
financing rate to the conterparty for the duration of the transaction</t>
  </si>
  <si>
    <t>$30 million</t>
  </si>
  <si>
    <t>Financing ; SOFR + 1.20%</t>
  </si>
  <si>
    <t>Bank D</t>
  </si>
  <si>
    <t>Bank buys a NASDAQ 100 index future. The current index level 
is $22000 and the agreed futures price is $22150</t>
  </si>
  <si>
    <t>$20 million</t>
  </si>
  <si>
    <t>Futures level : $22150</t>
  </si>
  <si>
    <t>Bank E</t>
  </si>
  <si>
    <t>Forward level :$ 5250</t>
  </si>
  <si>
    <t>Bank buys EUR and sells USD under a 1 year forward contract</t>
  </si>
  <si>
    <t>EUR 15 million</t>
  </si>
  <si>
    <t>Forward rate : 1.1900 EUR/USD;
Spot : 1.1750</t>
  </si>
  <si>
    <t>Bank F</t>
  </si>
  <si>
    <t>Bank buys a EUR/USD call option, giving it the right to buy EUR
against USD</t>
  </si>
  <si>
    <t>EUR 10 million</t>
  </si>
  <si>
    <t>Strike : 1.1800;
Spot : 1.1750</t>
  </si>
  <si>
    <t>Bank G</t>
  </si>
  <si>
    <t>Bank buys a USD/JPY put option, giving it the right to sell USD against JPY</t>
  </si>
  <si>
    <t>$8 million</t>
  </si>
  <si>
    <t>Strike: 145.00;
Spot : 148.00</t>
  </si>
  <si>
    <t>Bank H</t>
  </si>
  <si>
    <t>Bank enters into a cross-currency swap, paying USD interest and 
receiving EUR interest over the life of the transaction</t>
  </si>
  <si>
    <t>$40 million</t>
  </si>
  <si>
    <t>USD rate : SOFR + 1.00%;
EUR rate : STR + 0.8%</t>
  </si>
  <si>
    <t>Bank I</t>
  </si>
  <si>
    <t>Bank enters into a 6 month EUR/USD FX swap, exchanging EUR and 
USD initially and reversing the exchange at maturity.</t>
  </si>
  <si>
    <t>EUR 20 million</t>
  </si>
  <si>
    <t>Spot : 1.1750;
Forward points : +35 pips</t>
  </si>
  <si>
    <t>Bank J</t>
  </si>
  <si>
    <t>Bank agrees to buy Brent crude oil under a 1 year forward contract
at a fixed price</t>
  </si>
  <si>
    <t>$12 million</t>
  </si>
  <si>
    <t>Bank K</t>
  </si>
  <si>
    <t>Bank enters into a WTI crude oil futures contract to purchase
crude oil at a predetermined futures price</t>
  </si>
  <si>
    <t>Futures price : $72/barrel;
current prices: $70/barrel</t>
  </si>
  <si>
    <t>Bank L</t>
  </si>
  <si>
    <t>Bank buys a call option on gold, giving it the right to purchase gold
at a predetermined price</t>
  </si>
  <si>
    <t>$7 million</t>
  </si>
  <si>
    <t>Strike: $3500/oz;
current gold: $3400/oz</t>
  </si>
  <si>
    <t>Bank M</t>
  </si>
  <si>
    <t>Bank buys a put option on copper, giving it the right to sell copper at a 
predetermined price</t>
  </si>
  <si>
    <t>$6 million</t>
  </si>
  <si>
    <t>Strike: $5.00/lb;
current copper: $74/lb</t>
  </si>
  <si>
    <t>Bank N</t>
  </si>
  <si>
    <t>Bank enters into an oil commodity swap, paying a fixed oil price and 
receiving a floating market price for the agrred period</t>
  </si>
  <si>
    <t>$18 million</t>
  </si>
  <si>
    <t>Fixed Price: $76/barrel;
current price: $74/barrel</t>
  </si>
  <si>
    <t>Bank O</t>
  </si>
  <si>
    <t>Bank enters into a 5 year interest rate swap, paying a fixed interest 
rate and receiving 3 month SOFR</t>
  </si>
  <si>
    <t>$50 million</t>
  </si>
  <si>
    <t>Fixed rate: 4.20%;
SOFR : 3.80%</t>
  </si>
  <si>
    <t>Bank P</t>
  </si>
  <si>
    <t>Bank enters into a 3 year SOFR OIS, paying a fixed rate and receiving 
compounded SOFR overnight interest</t>
  </si>
  <si>
    <t>$35 million</t>
  </si>
  <si>
    <t>Fixed rate : 3.95%;
SOFR: 3.80%</t>
  </si>
  <si>
    <t>Bank Q</t>
  </si>
  <si>
    <t>Bank buys a 2Y x 5Y payer swaption, giving it right to enter into a 
5-Year interest rate swap after 2 Years and pay fixed interest</t>
  </si>
  <si>
    <t>Strike swap rate : 4.25%;
current 5Y swap rate: 4.05%</t>
  </si>
  <si>
    <t>Bank R</t>
  </si>
  <si>
    <t>Bank buys a 3-Year SOFR cap, providing protection if 
SOFR rises above the agreed strike rate</t>
  </si>
  <si>
    <t>Cap Strike: 4.50%;
Current SOFR: 3.80%</t>
  </si>
  <si>
    <t>Bank S</t>
  </si>
  <si>
    <t>Bank enters into a 6 x 9 USD FRA, fixing the interest rate for a 3 month
borrowing period beginning in 6 months</t>
  </si>
  <si>
    <t>$15 million</t>
  </si>
  <si>
    <t>Starts : 28-02-2027
Ends : 28-05-2027</t>
  </si>
  <si>
    <t>FRA rate: 4.10%;
Current reference: 3.85%</t>
  </si>
  <si>
    <t>Bank T</t>
  </si>
  <si>
    <t>Bank buys Credit protection on a single name corporate borrower
for 5 years. The bank pays a premium and receives protection if 
a credit event occurs</t>
  </si>
  <si>
    <t>CDS spread : 125 bps;
Recovery : 40%</t>
  </si>
  <si>
    <t>Bank U</t>
  </si>
  <si>
    <t>CDS index spread : 65 bps;
Recovery : 40%</t>
  </si>
  <si>
    <t>Bank V</t>
  </si>
  <si>
    <t>Bank buys protection on the CDS investment grade index for 5 years</t>
  </si>
  <si>
    <t>Bank buys a call option on a CDS index, giving it the right to enter into a 
CDS index protection at a predetermined spread</t>
  </si>
  <si>
    <t>Strike Spread : 70 bps;
current spread : 65 bps</t>
  </si>
  <si>
    <t>Bank W</t>
  </si>
  <si>
    <t>Bank enters into a forward contract on a corporate credit spread,
agreeing today on a spread level thet will apply at a future date</t>
  </si>
  <si>
    <t>Forward spread : 150 bps
current Spread : 135 bps</t>
  </si>
  <si>
    <t>Bank X</t>
  </si>
  <si>
    <t xml:space="preserve">Forward price: $78/ barrel;
current price: $70/barrel
</t>
  </si>
  <si>
    <t>Trade Identification</t>
  </si>
  <si>
    <t>Product Type</t>
  </si>
  <si>
    <t>Position</t>
  </si>
  <si>
    <t>Underlying/Reference</t>
  </si>
  <si>
    <t>Maturity/Expiry</t>
  </si>
  <si>
    <t>Settlement Type</t>
  </si>
  <si>
    <t>Buy Currency</t>
  </si>
  <si>
    <t>Sell Currency</t>
  </si>
  <si>
    <t>Buy Notional</t>
  </si>
  <si>
    <t>Sell Notional</t>
  </si>
  <si>
    <t>Trade Notional</t>
  </si>
  <si>
    <t>Calculation Currency</t>
  </si>
  <si>
    <t>Spot price</t>
  </si>
  <si>
    <t>Strike</t>
  </si>
  <si>
    <t>Fixed rate</t>
  </si>
  <si>
    <t>Floating rate / Index</t>
  </si>
  <si>
    <t>Forward points</t>
  </si>
  <si>
    <t>Interest Rate</t>
  </si>
  <si>
    <t>Rate Index</t>
  </si>
  <si>
    <t>Sub-Curve</t>
  </si>
  <si>
    <t>Tenor</t>
  </si>
  <si>
    <t>Reset Frequency</t>
  </si>
  <si>
    <t>Payment Frequency</t>
  </si>
  <si>
    <t>FX</t>
  </si>
  <si>
    <t>FX Currency pair</t>
  </si>
  <si>
    <t>FX Volatility Group</t>
  </si>
  <si>
    <t>Equity</t>
  </si>
  <si>
    <t>Equity Bucket</t>
  </si>
  <si>
    <t>Commodity Type</t>
  </si>
  <si>
    <t>Commodity Bucket</t>
  </si>
  <si>
    <t>Commodity Tenor</t>
  </si>
  <si>
    <t>Credit rating</t>
  </si>
  <si>
    <t>Credit Bucket</t>
  </si>
  <si>
    <t>Seniority</t>
  </si>
  <si>
    <t>Credit Tenor</t>
  </si>
  <si>
    <t>Option Type</t>
  </si>
  <si>
    <t>Exercise Style</t>
  </si>
  <si>
    <t>Underlying Price</t>
  </si>
  <si>
    <t>Volatility</t>
  </si>
  <si>
    <t>SIMM Risk Class</t>
  </si>
  <si>
    <t>SIMM Bucket</t>
  </si>
  <si>
    <t>SIMM Risk Factor</t>
  </si>
  <si>
    <t>Region</t>
  </si>
  <si>
    <t>Sensitivity currency</t>
  </si>
  <si>
    <t>Risk Factor Tenor</t>
  </si>
  <si>
    <t>Netting Set</t>
  </si>
  <si>
    <t>Clearing status</t>
  </si>
  <si>
    <t>Trade/Transaction Details</t>
  </si>
  <si>
    <t>Forward/Futures</t>
  </si>
  <si>
    <t>FX Option Maturity</t>
  </si>
  <si>
    <t>Equity/Index Name</t>
  </si>
  <si>
    <t>Sector (Equity)</t>
  </si>
  <si>
    <t>Market Capitalization</t>
  </si>
  <si>
    <t>Commodity Location/Grade</t>
  </si>
  <si>
    <t>Credit Reference Entity</t>
  </si>
  <si>
    <t>Call/Put</t>
  </si>
  <si>
    <t>Strike (Option)</t>
  </si>
  <si>
    <t>Expiry (Option)</t>
  </si>
  <si>
    <t>SIMM Sub-bucket/Category</t>
  </si>
  <si>
    <t>Sector (SIMM)</t>
  </si>
  <si>
    <t>Sensitivity date/Expiry</t>
  </si>
  <si>
    <t>Collateral/Margin Agreement</t>
  </si>
  <si>
    <t>Counterparty (Other)</t>
  </si>
  <si>
    <t>Bank buys a forward on the S&amp;P 500 Index at a forward level of $5250. Current S&amp;P 500 level is $5100</t>
  </si>
  <si>
    <t>TRD-2026-001</t>
  </si>
  <si>
    <t>Equity Index Forward</t>
  </si>
  <si>
    <t>Long (Buyer)</t>
  </si>
  <si>
    <t>S&amp;P 500 Index</t>
  </si>
  <si>
    <t>28-Aug-2026</t>
  </si>
  <si>
    <t>28-Aug-2027</t>
  </si>
  <si>
    <t>Cash-settled</t>
  </si>
  <si>
    <t>$25,000,000</t>
  </si>
  <si>
    <t>Large-Cap Developed Market Index</t>
  </si>
  <si>
    <t>Broad Market / Diversified</t>
  </si>
  <si>
    <t>Large Cap</t>
  </si>
  <si>
    <t>Bucket 11 (Large-Cap, Developed - Indices/Funds)</t>
  </si>
  <si>
    <t>Equity Delta - S&amp;P 500</t>
  </si>
  <si>
    <t>Index</t>
  </si>
  <si>
    <t>North America (US)</t>
  </si>
  <si>
    <t>Index / Diversified</t>
  </si>
  <si>
    <t>ISDA/CSA - Bilateral VM</t>
  </si>
  <si>
    <t>NS-BANKA-EQD</t>
  </si>
  <si>
    <t>Uncleared (bilateral OTC)</t>
  </si>
  <si>
    <t>Bank buys a 1 year call option on the S&amp;P 500 index. The index is currently at $5000 and the bank pays a premium for the option</t>
  </si>
  <si>
    <t>TRD-2026-002</t>
  </si>
  <si>
    <t>Equity Index Option (Vanilla Call)</t>
  </si>
  <si>
    <t>Cash-settled, premium paid upfront</t>
  </si>
  <si>
    <t>$10,000,000</t>
  </si>
  <si>
    <t>Vanilla Index Option</t>
  </si>
  <si>
    <t>Call</t>
  </si>
  <si>
    <t>European [assumed]</t>
  </si>
  <si>
    <t>1Y</t>
  </si>
  <si>
    <t>NS-BANKB-EQD</t>
  </si>
  <si>
    <t>Bank buys a 6 month put option on the Euro Stoxx 50 index to protect against a fall in the equity index</t>
  </si>
  <si>
    <t>TRD-2026-003</t>
  </si>
  <si>
    <t>Equity Index Option (Vanilla Put) - Hedge</t>
  </si>
  <si>
    <t>Euro Stoxx 50 Index</t>
  </si>
  <si>
    <t>28-Feb-2027</t>
  </si>
  <si>
    <t>EUR 12,000,000</t>
  </si>
  <si>
    <t>Large-Cap Developed Market Index (Europe)</t>
  </si>
  <si>
    <t>Vanilla Index Option (Protective/Hedge)</t>
  </si>
  <si>
    <t>Put</t>
  </si>
  <si>
    <t>Europe (Eurozone)</t>
  </si>
  <si>
    <t>6M</t>
  </si>
  <si>
    <t>NS-BANKC-EQD</t>
  </si>
  <si>
    <t>Bank receives the total return of the S&amp;P 500 Index and pays a financing rate to the counterparty for the duration of the transaction</t>
  </si>
  <si>
    <t>TRD-2026-004</t>
  </si>
  <si>
    <t>Total Return Swap (Equity)</t>
  </si>
  <si>
    <t>Receiver of Total Return / Payer of Financing</t>
  </si>
  <si>
    <t>28-Aug-2029</t>
  </si>
  <si>
    <t>Periodic cash settlement + final settlement</t>
  </si>
  <si>
    <t>$30,000,000</t>
  </si>
  <si>
    <t>SOFR + 1.20% (financing leg)</t>
  </si>
  <si>
    <t>SOFR</t>
  </si>
  <si>
    <t>SOFR OIS</t>
  </si>
  <si>
    <t>3Y</t>
  </si>
  <si>
    <t>Quarterly [assumed]</t>
  </si>
  <si>
    <t>Equity: Bucket 11 (Index); IR: USD</t>
  </si>
  <si>
    <t>Equity Delta - S&amp;P 500; IR Delta - SOFR</t>
  </si>
  <si>
    <t>Index / Financing Leg</t>
  </si>
  <si>
    <t>ISDA/CSA - Bilateral VM+IM (long-dated swap)</t>
  </si>
  <si>
    <t>NS-BANKD-EQD</t>
  </si>
  <si>
    <t>Bank buys a NASDAQ 100 index future. The current index level is $22000 and the agreed futures price is $22150</t>
  </si>
  <si>
    <t>TRD-2026-005</t>
  </si>
  <si>
    <t>Equity Index Future</t>
  </si>
  <si>
    <t>NASDAQ 100 Index</t>
  </si>
  <si>
    <t>18-Dec-2026</t>
  </si>
  <si>
    <t>Exchange-cleared, daily variation margin</t>
  </si>
  <si>
    <t>$20,000,000</t>
  </si>
  <si>
    <t>Large-Cap Developed Market Index (Tech-heavy)</t>
  </si>
  <si>
    <t>Technology / Growth</t>
  </si>
  <si>
    <t>Equity Delta - NASDAQ 100</t>
  </si>
  <si>
    <t>Technology / Index</t>
  </si>
  <si>
    <t>Exchange Initial + Variation Margin (CCP)</t>
  </si>
  <si>
    <t>NS-BANKE-ETD</t>
  </si>
  <si>
    <t>Centrally cleared (Exchange/CCP)</t>
  </si>
  <si>
    <t>TRD-2026-006</t>
  </si>
  <si>
    <t>FX Forward</t>
  </si>
  <si>
    <t>Buy EUR / Sell USD</t>
  </si>
  <si>
    <t>EUR/USD</t>
  </si>
  <si>
    <t>Physical delivery (deliverable forward)</t>
  </si>
  <si>
    <t>EUR 15,000,000</t>
  </si>
  <si>
    <t>USD 17,625,000 (at forward rate) [derived]</t>
  </si>
  <si>
    <t>+150 pips [derived: fwd - spot]</t>
  </si>
  <si>
    <t>G10 (Liquid)</t>
  </si>
  <si>
    <t>FX (single bucket, G10)</t>
  </si>
  <si>
    <t>FX Delta - EUR/USD</t>
  </si>
  <si>
    <t>G10 Currency Pair</t>
  </si>
  <si>
    <t>Global (US/Eurozone)</t>
  </si>
  <si>
    <t>NS-BANKF-FX</t>
  </si>
  <si>
    <t>Bank buys a EUR/USD call option, giving it the right to buy EUR against USD</t>
  </si>
  <si>
    <t>TRD-2026-007</t>
  </si>
  <si>
    <t>FX Option (Vanilla Call)</t>
  </si>
  <si>
    <t>Long (Buyer - right to buy EUR)</t>
  </si>
  <si>
    <t>Physical delivery / premium paid upfront</t>
  </si>
  <si>
    <t>EUR 10,000,000</t>
  </si>
  <si>
    <t>Vanilla FX Option</t>
  </si>
  <si>
    <t>Call (on EUR)</t>
  </si>
  <si>
    <t>~7.5% (est., EUR/USD implied vol) [assumed]</t>
  </si>
  <si>
    <t>FX Delta &amp; Vega - EUR/USD</t>
  </si>
  <si>
    <t>NS-BANKG-FX</t>
  </si>
  <si>
    <t>TRD-2026-008</t>
  </si>
  <si>
    <t>FX Option (Vanilla Put)</t>
  </si>
  <si>
    <t>Long (Buyer - right to sell USD)</t>
  </si>
  <si>
    <t>USD/JPY</t>
  </si>
  <si>
    <t>JPY</t>
  </si>
  <si>
    <t>$8,000,000</t>
  </si>
  <si>
    <t>Put (on USD)</t>
  </si>
  <si>
    <t>~9.0% (est., USD/JPY implied vol) [assumed]</t>
  </si>
  <si>
    <t>FX Delta &amp; Vega - USD/JPY</t>
  </si>
  <si>
    <t>Global (US/Japan)</t>
  </si>
  <si>
    <t>NS-BANKH-FX</t>
  </si>
  <si>
    <t>Bank enters into a cross-currency swap, paying USD interest and receiving EUR interest over the life of the transaction</t>
  </si>
  <si>
    <t>TRD-2026-009</t>
  </si>
  <si>
    <t>Cross-Currency Swap (USD/EUR)</t>
  </si>
  <si>
    <t>Pay USD Floating / Receive EUR Floating</t>
  </si>
  <si>
    <t>USD SOFR vs EUR STR</t>
  </si>
  <si>
    <t>28-Aug-2031</t>
  </si>
  <si>
    <t>Periodic interest exchange + FX notional exchange</t>
  </si>
  <si>
    <t>USD/EUR</t>
  </si>
  <si>
    <t>$40,000,000</t>
  </si>
  <si>
    <t>USD: SOFR + 1.00%; EUR: €STR + 0.80%</t>
  </si>
  <si>
    <t>SOFR (USD leg) / €STR (EUR leg)</t>
  </si>
  <si>
    <t>SOFR OIS / €STR OIS</t>
  </si>
  <si>
    <t>5Y</t>
  </si>
  <si>
    <t>USD &amp; EUR (IR); FX (single bucket, G10)</t>
  </si>
  <si>
    <t>IR Delta - SOFR &amp; €STR; FX Delta - EUR/USD</t>
  </si>
  <si>
    <t>Cross-Currency Basis</t>
  </si>
  <si>
    <t>ISDA/CSA - Bilateral VM+IM (SIMM, long-dated)</t>
  </si>
  <si>
    <t>NS-BANKI-XCCY</t>
  </si>
  <si>
    <t>Bank enters into a 6 month EUR/USD FX swap, exchanging EUR and USD initially and reversing the exchange at maturity</t>
  </si>
  <si>
    <t>TRD-2026-010</t>
  </si>
  <si>
    <t>FX Swap (Spot-Forward)</t>
  </si>
  <si>
    <t>Buy/Sell EUR vs USD near leg, reverse far leg</t>
  </si>
  <si>
    <t>Physical delivery, two legs (near + far)</t>
  </si>
  <si>
    <t>EUR 20,000,000</t>
  </si>
  <si>
    <t>1.1785 (spot + forward points) [derived]</t>
  </si>
  <si>
    <t>+35 pips</t>
  </si>
  <si>
    <t>NS-BANKJ-FX</t>
  </si>
  <si>
    <t>Bank agrees to buy Brent crude oil under a 1 year forward contract at a fixed price</t>
  </si>
  <si>
    <t>TRD-2026-011</t>
  </si>
  <si>
    <t>Commodity Forward (Brent Crude Oil)</t>
  </si>
  <si>
    <t>Brent Crude Oil</t>
  </si>
  <si>
    <t>Cash-settled [assumed]</t>
  </si>
  <si>
    <t>$12,000,000</t>
  </si>
  <si>
    <t>$70/barrel</t>
  </si>
  <si>
    <t>$78/barrel</t>
  </si>
  <si>
    <t>Energy - Crude Oil (Brent)</t>
  </si>
  <si>
    <t>Brent (ICE, North Sea)</t>
  </si>
  <si>
    <t>Bucket: Energy - Oil</t>
  </si>
  <si>
    <t>Commodity</t>
  </si>
  <si>
    <t>Bucket 6 (Energy - Oil/Gas)</t>
  </si>
  <si>
    <t>Commodity Delta - Brent Crude</t>
  </si>
  <si>
    <t>Crude Oil</t>
  </si>
  <si>
    <t>Global / Europe (Brent benchmark)</t>
  </si>
  <si>
    <t>Energy</t>
  </si>
  <si>
    <t>NS-BANKK-CMD</t>
  </si>
  <si>
    <t>Bank enters into a WTI crude oil futures contract to purchase crude oil at a predetermined futures price</t>
  </si>
  <si>
    <t>TRD-2026-012</t>
  </si>
  <si>
    <t>Commodity Future (WTI Crude Oil)</t>
  </si>
  <si>
    <t>WTI Crude Oil</t>
  </si>
  <si>
    <t>20-Nov-2026</t>
  </si>
  <si>
    <t>$72/barrel</t>
  </si>
  <si>
    <t>Energy - Crude Oil (WTI)</t>
  </si>
  <si>
    <t>WTI (NYMEX, Cushing OK)</t>
  </si>
  <si>
    <t>~3M</t>
  </si>
  <si>
    <t>Commodity Delta - WTI Crude</t>
  </si>
  <si>
    <t>NS-BANKL-ETD</t>
  </si>
  <si>
    <t>Bank buys a call option on gold, giving it the right to purchase gold at a predetermined price</t>
  </si>
  <si>
    <t>TRD-2026-013</t>
  </si>
  <si>
    <t>Commodity Option (Vanilla Call - Gold)</t>
  </si>
  <si>
    <t>Gold</t>
  </si>
  <si>
    <t>Cash-settled, premium paid upfront [assumed]</t>
  </si>
  <si>
    <t>$7,000,000</t>
  </si>
  <si>
    <t>$3,400/oz</t>
  </si>
  <si>
    <t>$3,500/oz</t>
  </si>
  <si>
    <t>Precious Metal - Gold</t>
  </si>
  <si>
    <t>LBMA / COMEX Good Delivery</t>
  </si>
  <si>
    <t>Bucket: Metals - Precious</t>
  </si>
  <si>
    <t>Vanilla Commodity Option</t>
  </si>
  <si>
    <t>~16% (est., gold implied vol) [assumed]</t>
  </si>
  <si>
    <t>Bucket 7 (Metals - Precious)</t>
  </si>
  <si>
    <t>Commodity Delta &amp; Vega - Gold</t>
  </si>
  <si>
    <t>Precious Metals</t>
  </si>
  <si>
    <t>Global</t>
  </si>
  <si>
    <t>Metals</t>
  </si>
  <si>
    <t>NS-BANKM-CMD</t>
  </si>
  <si>
    <t>Bank buys a put option on copper, giving it the right to sell copper at a predetermined price</t>
  </si>
  <si>
    <t>TRD-2026-014</t>
  </si>
  <si>
    <t>Commodity Option (Vanilla Put - Copper)</t>
  </si>
  <si>
    <t>Copper</t>
  </si>
  <si>
    <t>$6,000,000</t>
  </si>
  <si>
    <t>$4.74/lb [as per source sheet: $74/lb - likely a typo, flagged]</t>
  </si>
  <si>
    <t>$5.00/lb</t>
  </si>
  <si>
    <t>Base Metal - Copper</t>
  </si>
  <si>
    <t>LME Grade A Copper</t>
  </si>
  <si>
    <t>Bucket: Metals - Base</t>
  </si>
  <si>
    <t>$4.74/lb [flagged - source shows $74/lb, likely typo]</t>
  </si>
  <si>
    <t>~22% (est., copper implied vol) [assumed]</t>
  </si>
  <si>
    <t>Bucket 8 (Metals - Base)</t>
  </si>
  <si>
    <t>Commodity Delta &amp; Vega - Copper</t>
  </si>
  <si>
    <t>Base Metals</t>
  </si>
  <si>
    <t>NS-BANKN-CMD</t>
  </si>
  <si>
    <t>Bank enters into an oil commodity swap, paying a fixed oil price and receiving a floating market price for the agreed period</t>
  </si>
  <si>
    <t>TRD-2026-015</t>
  </si>
  <si>
    <t>Commodity Swap (Fixed-for-Floating Oil)</t>
  </si>
  <si>
    <t>Pay Fixed / Receive Floating</t>
  </si>
  <si>
    <t>Crude Oil (generic benchmark)</t>
  </si>
  <si>
    <t>28-Aug-2028</t>
  </si>
  <si>
    <t>Periodic cash settlement (net of fixed vs floating)</t>
  </si>
  <si>
    <t>$18,000,000</t>
  </si>
  <si>
    <t>$74/barrel</t>
  </si>
  <si>
    <t>$76/barrel</t>
  </si>
  <si>
    <t>Floating market price (avg.)</t>
  </si>
  <si>
    <t>Monthly [assumed]</t>
  </si>
  <si>
    <t>Energy - Crude Oil</t>
  </si>
  <si>
    <t>Generic / Benchmark</t>
  </si>
  <si>
    <t>2Y</t>
  </si>
  <si>
    <t>Commodity Delta - Oil Swap</t>
  </si>
  <si>
    <t>NS-BANKO-CMD</t>
  </si>
  <si>
    <t>Bank enters into a 5 year interest rate swap, paying a fixed interest rate and receiving 3 month SOFR</t>
  </si>
  <si>
    <t>TRD-2026-016</t>
  </si>
  <si>
    <t>Interest Rate Swap (Fixed vs Floating)</t>
  </si>
  <si>
    <t>USD SOFR</t>
  </si>
  <si>
    <t>Periodic net interest cash settlement</t>
  </si>
  <si>
    <t>$50,000,000</t>
  </si>
  <si>
    <t>3M SOFR</t>
  </si>
  <si>
    <t>SOFR Swap Curve</t>
  </si>
  <si>
    <t>Quarterly</t>
  </si>
  <si>
    <t>IR Delta - SOFR Swap Curve</t>
  </si>
  <si>
    <t>Vanilla IRS</t>
  </si>
  <si>
    <t>ISDA/CSA - Bilateral VM+IM (SIMM)</t>
  </si>
  <si>
    <t>NS-BANKP-IRD</t>
  </si>
  <si>
    <t>Likely centrally cleared (LCH/CME) - standard USD SOFR IRS [assumed]</t>
  </si>
  <si>
    <t>Bank enters into a 3 year SOFR OIS, paying a fixed rate and receiving compounded SOFR overnight interest</t>
  </si>
  <si>
    <t>TRD-2026-017</t>
  </si>
  <si>
    <t>Overnight Index Swap (OIS)</t>
  </si>
  <si>
    <t>Pay Fixed / Receive Floating (Compounded)</t>
  </si>
  <si>
    <t>$35,000,000</t>
  </si>
  <si>
    <t>SOFR (compounded overnight)</t>
  </si>
  <si>
    <t>SOFR OIS Curve</t>
  </si>
  <si>
    <t>IR Delta - SOFR OIS Curve</t>
  </si>
  <si>
    <t>OIS</t>
  </si>
  <si>
    <t>NS-BANKQ-IRD</t>
  </si>
  <si>
    <t>Likely centrally cleared (LCH/CME) - standard USD SOFR OIS [assumed]</t>
  </si>
  <si>
    <t>Bank buys a 2Y x 5Y payer swaption, giving it the right to enter into a 5-Year interest rate swap after 2 years and pay fixed interest</t>
  </si>
  <si>
    <t>TRD-2026-018</t>
  </si>
  <si>
    <t>Interest Rate Swaption (Payer, European)</t>
  </si>
  <si>
    <t>Physical/cash settlement into underlying swap [assumed]</t>
  </si>
  <si>
    <t>4.25%</t>
  </si>
  <si>
    <t>3M SOFR (underlying swap)</t>
  </si>
  <si>
    <t>2Y into 5Y (2Yx5Y)</t>
  </si>
  <si>
    <t>Interest Rate Swaption (Payer)</t>
  </si>
  <si>
    <t>Payer (Call on rates)</t>
  </si>
  <si>
    <t>European</t>
  </si>
  <si>
    <t>IR Delta &amp; Vega - SOFR Swap Curve (Swaption)</t>
  </si>
  <si>
    <t>Swaption</t>
  </si>
  <si>
    <t>2Yx5Y</t>
  </si>
  <si>
    <t>NS-BANKR-IRD</t>
  </si>
  <si>
    <t>Uncleared (bilateral OTC) - swaptions typically not centrally cleared</t>
  </si>
  <si>
    <t>Bank buys a 3-Year SOFR cap, providing protection if SOFR rises above the agreed strike rate</t>
  </si>
  <si>
    <t>TRD-2026-019</t>
  </si>
  <si>
    <t>Interest Rate Cap</t>
  </si>
  <si>
    <t>Periodic cash settlement if SOFR &gt; strike</t>
  </si>
  <si>
    <t>SOFR Cap/Floor Curve</t>
  </si>
  <si>
    <t>Interest Rate Cap (strip of caplets)</t>
  </si>
  <si>
    <t>Cap (Call on rates)</t>
  </si>
  <si>
    <t>European (per caplet)</t>
  </si>
  <si>
    <t>4.50%</t>
  </si>
  <si>
    <t>IR Delta &amp; Vega - SOFR Curve (Cap)</t>
  </si>
  <si>
    <t>Cap/Floor</t>
  </si>
  <si>
    <t>NS-BANKS-IRD</t>
  </si>
  <si>
    <t>Bank enters into a 6 x 9 USD FRA, fixing the interest rate for a 3 month borrowing period beginning in 6 months</t>
  </si>
  <si>
    <t>TRD-2026-020</t>
  </si>
  <si>
    <t>Forward Rate Agreement (FRA)</t>
  </si>
  <si>
    <t>Fix Borrowing Rate (Buyer of FRA)</t>
  </si>
  <si>
    <t>Single net cash settlement at start of borrowing period</t>
  </si>
  <si>
    <t>$15,000,000</t>
  </si>
  <si>
    <t>3M reference rate (currently 3.85%)</t>
  </si>
  <si>
    <t>Money Market Curve</t>
  </si>
  <si>
    <t>6x9 (3-month period starting in 6 months)</t>
  </si>
  <si>
    <t>Single fixing at start</t>
  </si>
  <si>
    <t>Single settlement</t>
  </si>
  <si>
    <t>IR Delta - Money Market Curve (FRA)</t>
  </si>
  <si>
    <t>FRA</t>
  </si>
  <si>
    <t>6M-9M bucket</t>
  </si>
  <si>
    <t>NS-BANKT-IRD</t>
  </si>
  <si>
    <t>Uncleared (bilateral OTC) [could also be cleared - assumed uncleared]</t>
  </si>
  <si>
    <t>Bank buys credit protection on a single name corporate borrower for 5 years. The bank pays a premium and receives protection if a credit event occurs</t>
  </si>
  <si>
    <t>TRD-2026-021</t>
  </si>
  <si>
    <t>Credit Default Swap (Single-Name)</t>
  </si>
  <si>
    <t>Protection Buyer</t>
  </si>
  <si>
    <t>Single-Name Corporate Borrower [name not specified]</t>
  </si>
  <si>
    <t>Premium paid periodically; contingent payment on credit event</t>
  </si>
  <si>
    <t>125 bps (CDS spread/premium)</t>
  </si>
  <si>
    <t>Single-Name Corporate Borrower [name not specified in source]</t>
  </si>
  <si>
    <t>BBB (est., typical single-name IG reference) [assumed]</t>
  </si>
  <si>
    <t>Corporate - Investment Grade [assumed]</t>
  </si>
  <si>
    <t>Senior Unsecured [assumed]</t>
  </si>
  <si>
    <t>Bucket 4-7 (Corporate, IG, by sector) [assumed]</t>
  </si>
  <si>
    <t>Credit Delta - Single-Name CDS Spread</t>
  </si>
  <si>
    <t>Single-Name IG</t>
  </si>
  <si>
    <t>Not specified [assumed North America]</t>
  </si>
  <si>
    <t>Corporate - Sector not specified</t>
  </si>
  <si>
    <t>NS-BANKU-CRD</t>
  </si>
  <si>
    <t>Uncleared (bilateral OTC) - single-name CDS typically not mandatorily cleared</t>
  </si>
  <si>
    <t>TRD-2026-022</t>
  </si>
  <si>
    <t>Credit Default Swap Index (CDX/iTraxx IG)</t>
  </si>
  <si>
    <t>CDS Investment Grade Index (e.g., CDX.NA.IG / iTraxx Europe) [assumed]</t>
  </si>
  <si>
    <t>Premium paid periodically; contingent payment on constituent credit events</t>
  </si>
  <si>
    <t>65 bps (CDS index spread)</t>
  </si>
  <si>
    <t>CDS Investment Grade Index (basket of IG corporates)</t>
  </si>
  <si>
    <t>Investment Grade (index composition)</t>
  </si>
  <si>
    <t>Corporate - Investment Grade Index</t>
  </si>
  <si>
    <t>Bucket 12 (IG CDS Indices) [assumed]</t>
  </si>
  <si>
    <t>Credit Delta - CDS Index Spread</t>
  </si>
  <si>
    <t>IG Index</t>
  </si>
  <si>
    <t>Not specified [assumed North America/Europe]</t>
  </si>
  <si>
    <t>Diversified Corporate</t>
  </si>
  <si>
    <t>NS-BANKV-CRD</t>
  </si>
  <si>
    <t>Likely centrally cleared (ICE Clear Credit) - standard IG CDS index [assumed]</t>
  </si>
  <si>
    <t>Bank buys a call option on a CDS index, giving it the right to enter into a CDS index protection at a predetermined spread</t>
  </si>
  <si>
    <t>TRD-2026-023</t>
  </si>
  <si>
    <t>Option on CDS Index (Payer/Call)</t>
  </si>
  <si>
    <t>CDS Investment Grade Index [assumed]</t>
  </si>
  <si>
    <t>Premium paid upfront; exercise into CDS index protection</t>
  </si>
  <si>
    <t>70 bps (strike spread)</t>
  </si>
  <si>
    <t>6M (option) into 5Y index [assumed]</t>
  </si>
  <si>
    <t>CDS Index Option (Payer/Call on spread)</t>
  </si>
  <si>
    <t>Call (right to buy protection)</t>
  </si>
  <si>
    <t>70 bps</t>
  </si>
  <si>
    <t>65 bps (current index spread)</t>
  </si>
  <si>
    <t>~35% spread vol (est.) [assumed]</t>
  </si>
  <si>
    <t>Credit Delta &amp; Vega - CDS Index Option</t>
  </si>
  <si>
    <t>IG Index Option</t>
  </si>
  <si>
    <t>NS-BANKW-CRD</t>
  </si>
  <si>
    <t>Uncleared (bilateral OTC) - CDS index options are not centrally cleared</t>
  </si>
  <si>
    <t>Bank enters into a forward contract on a corporate credit spread, agreeing today on a spread level that will apply at a future date</t>
  </si>
  <si>
    <t>TRD-2026-024</t>
  </si>
  <si>
    <t>Forward Contract on Corporate Credit Spread</t>
  </si>
  <si>
    <t>Long Spread (Buyer of Forward)</t>
  </si>
  <si>
    <t>Corporate Credit Spread [reference entity not specified]</t>
  </si>
  <si>
    <t>Single net cash settlement at maturity based on spread differential</t>
  </si>
  <si>
    <t>150 bps (forward spread)</t>
  </si>
  <si>
    <t>Corporate Credit Spread [name not specified in source]</t>
  </si>
  <si>
    <t>Not specified [assumed BBB/IG]</t>
  </si>
  <si>
    <t>Credit Delta - Forward Spread</t>
  </si>
  <si>
    <t>NS-BANKX-CRD</t>
  </si>
  <si>
    <t>Trade ID</t>
  </si>
  <si>
    <t>Trade Date</t>
  </si>
  <si>
    <t>Spot Price</t>
  </si>
  <si>
    <t>Risk-free Rate</t>
  </si>
  <si>
    <t>Dividend Yield</t>
  </si>
  <si>
    <t>Delta Method</t>
  </si>
  <si>
    <t>Equity Delta Sensitivity</t>
  </si>
  <si>
    <t>Sensitivity Currency</t>
  </si>
  <si>
    <t>Notes</t>
  </si>
  <si>
    <t xml:space="preserve">    - </t>
  </si>
  <si>
    <t xml:space="preserve">Time to Expiry </t>
  </si>
  <si>
    <t>EUR 5000</t>
  </si>
  <si>
    <t>EUR 5250</t>
  </si>
  <si>
    <t>Expected Dividend Yield Assumption = 2.00%</t>
  </si>
  <si>
    <t>Market</t>
  </si>
  <si>
    <t>Benchmark</t>
  </si>
  <si>
    <t>ON</t>
  </si>
  <si>
    <t>1W</t>
  </si>
  <si>
    <t>1M</t>
  </si>
  <si>
    <t>2M</t>
  </si>
  <si>
    <t>3M</t>
  </si>
  <si>
    <t>9M</t>
  </si>
  <si>
    <t>18M</t>
  </si>
  <si>
    <t>7Y</t>
  </si>
  <si>
    <t>10Y</t>
  </si>
  <si>
    <t>20Y</t>
  </si>
  <si>
    <t>SOFR / U.S. Treasury OIS Curve</t>
  </si>
  <si>
    <t>€STR / EURIBOR Curve</t>
  </si>
  <si>
    <t>GBP</t>
  </si>
  <si>
    <t>SONIA / Gilt Curve</t>
  </si>
  <si>
    <t>TONA / JGB Curve</t>
  </si>
  <si>
    <t>CHF</t>
  </si>
  <si>
    <t>SARON / Swiss Govt Curve</t>
  </si>
  <si>
    <t>INR</t>
  </si>
  <si>
    <t>MIBOR / Indian G-Sec Curve</t>
  </si>
  <si>
    <t>AUD</t>
  </si>
  <si>
    <t>AONIA / ACGB Curve</t>
  </si>
  <si>
    <t>CAD</t>
  </si>
  <si>
    <t>CORRA / GoC Curve</t>
  </si>
  <si>
    <t>SEK</t>
  </si>
  <si>
    <t>SWESTR / Swedish Govt Curve</t>
  </si>
  <si>
    <t>NOK</t>
  </si>
  <si>
    <t>NOWA / Norwegian Govt Curve</t>
  </si>
  <si>
    <t>DKK</t>
  </si>
  <si>
    <t>DESTR / Danish Govt Curve</t>
  </si>
  <si>
    <t>NZD</t>
  </si>
  <si>
    <t>NZONIA / NZ Govt Curve</t>
  </si>
  <si>
    <t>HKD</t>
  </si>
  <si>
    <t>HONIA / HK Govt Curve</t>
  </si>
  <si>
    <t>SGD</t>
  </si>
  <si>
    <t>SORA / SGS Curve</t>
  </si>
  <si>
    <t>CNY</t>
  </si>
  <si>
    <t>DR007 / China Govt Curve</t>
  </si>
  <si>
    <t>KRW</t>
  </si>
  <si>
    <t>KOFR / Korea Govt Curve</t>
  </si>
  <si>
    <t>MXN</t>
  </si>
  <si>
    <t>TIIE / Mexico Govt Curve</t>
  </si>
  <si>
    <t>BRL</t>
  </si>
  <si>
    <t>DI / Brazil Govt Curve</t>
  </si>
  <si>
    <t>ZAR</t>
  </si>
  <si>
    <t>ZAR OIS / SA Govt Curve</t>
  </si>
  <si>
    <t>PLN</t>
  </si>
  <si>
    <t>POLONIA / Polish Govt Curve</t>
  </si>
  <si>
    <t># Days</t>
  </si>
  <si>
    <t>Delta</t>
  </si>
  <si>
    <t>Delta Direction Sign</t>
  </si>
  <si>
    <t>Black Scholes Delta Calculations</t>
  </si>
  <si>
    <t>Header</t>
  </si>
  <si>
    <t xml:space="preserve">Spot </t>
  </si>
  <si>
    <t>Risk free rate</t>
  </si>
  <si>
    <t>Dividend</t>
  </si>
  <si>
    <t>Time to Expiry</t>
  </si>
  <si>
    <t>Call/put</t>
  </si>
  <si>
    <t>d1</t>
  </si>
  <si>
    <t>N(d1)</t>
  </si>
  <si>
    <t>d2</t>
  </si>
  <si>
    <t>N(d2)</t>
  </si>
  <si>
    <t>Trade 1</t>
  </si>
  <si>
    <t>Trade 2</t>
  </si>
  <si>
    <t>Delta Value</t>
  </si>
  <si>
    <t>Spot FX Rate</t>
  </si>
  <si>
    <t>Forward FX Rate</t>
  </si>
  <si>
    <t>Base Currency</t>
  </si>
  <si>
    <t>Quote Currency</t>
  </si>
  <si>
    <t>Domestic Risk-free Rate</t>
  </si>
  <si>
    <t>Foreign Risk-free Rate</t>
  </si>
  <si>
    <t>FX Delta Method</t>
  </si>
  <si>
    <t>FX Delta Sensitivity</t>
  </si>
  <si>
    <t>Effective Date</t>
  </si>
  <si>
    <t>Fixed Rate</t>
  </si>
  <si>
    <t>Day Count Convention</t>
  </si>
  <si>
    <t>Discount Curve</t>
  </si>
  <si>
    <t>Forward Curve</t>
  </si>
  <si>
    <t>Time to Maturity</t>
  </si>
  <si>
    <t>IR Delta Method</t>
  </si>
  <si>
    <t>Interest Rate Delta Sensitivity</t>
  </si>
  <si>
    <t>Commodity Delta Sensitivity</t>
  </si>
  <si>
    <t>Coupon/Spread</t>
  </si>
  <si>
    <t>Credit Spread</t>
  </si>
  <si>
    <t>Credit Quality</t>
  </si>
  <si>
    <t>Reference Obligation</t>
  </si>
  <si>
    <t>Credit Sector</t>
  </si>
  <si>
    <t>Credit Delta Method</t>
  </si>
  <si>
    <t>Credit Delta Sensitivity</t>
  </si>
  <si>
    <t xml:space="preserve">Equity </t>
  </si>
  <si>
    <t xml:space="preserve">Credit </t>
  </si>
  <si>
    <t>Credit</t>
  </si>
  <si>
    <t>Annual</t>
  </si>
  <si>
    <t>Daily</t>
  </si>
  <si>
    <t>Commodity Unit</t>
  </si>
  <si>
    <t>Commodity Quantity</t>
  </si>
  <si>
    <t>Barrels (bbl)</t>
  </si>
  <si>
    <t>Troy Ounces (oz)</t>
  </si>
  <si>
    <t>Pounds (lb)</t>
  </si>
  <si>
    <t>Recovery rate</t>
  </si>
  <si>
    <t>MARKET RATES</t>
  </si>
  <si>
    <t>CENTRAL RISK-FREE CURVES &amp; ASSUMPTIONS</t>
  </si>
  <si>
    <t>Interest Rate Curve Data – Discount &amp; Forward Curves</t>
  </si>
  <si>
    <t>Index / Curve</t>
  </si>
  <si>
    <t>Valuation Date</t>
  </si>
  <si>
    <t>Tenor (Years)</t>
  </si>
  <si>
    <t>Market Rate</t>
  </si>
  <si>
    <t>Day Count</t>
  </si>
  <si>
    <t>Compounding</t>
  </si>
  <si>
    <t>Discount Factor</t>
  </si>
  <si>
    <t>Zero Rate</t>
  </si>
  <si>
    <t>Start Tenor (Years)</t>
  </si>
  <si>
    <t>Forward Rate</t>
  </si>
  <si>
    <t>2026-08-28</t>
  </si>
  <si>
    <t>ACT/360</t>
  </si>
  <si>
    <t>Additional Curve Inputs / Trade Linkage</t>
  </si>
  <si>
    <t>Discount Curve ID</t>
  </si>
  <si>
    <t>USD-SOFR-OIS</t>
  </si>
  <si>
    <t>Forward Curve ID</t>
  </si>
  <si>
    <t>USD-SOFR-3M</t>
  </si>
  <si>
    <t>Projection Index</t>
  </si>
  <si>
    <t>Discounting Index</t>
  </si>
  <si>
    <t>Business Day Convention</t>
  </si>
  <si>
    <t>Following</t>
  </si>
  <si>
    <t>Curve Purpose</t>
  </si>
  <si>
    <t>PV + projected floating cash flows + IR sensitivities</t>
  </si>
  <si>
    <t>Credit Rating</t>
  </si>
  <si>
    <t>Recovery Rate</t>
  </si>
  <si>
    <t>1Y Spread (bps)</t>
  </si>
  <si>
    <t>2Y Spread (bps)</t>
  </si>
  <si>
    <t>3Y Spread (bps)</t>
  </si>
  <si>
    <t>5Y Spread (bps)</t>
  </si>
  <si>
    <t>7Y Spread (bps)</t>
  </si>
  <si>
    <t>10Y Spread (bps)</t>
  </si>
  <si>
    <t>Index Series</t>
  </si>
  <si>
    <t>Days Count Convention</t>
  </si>
  <si>
    <t>Upfront Payment (%)</t>
  </si>
  <si>
    <t>Entity A</t>
  </si>
  <si>
    <t>Reference CDS / Bond</t>
  </si>
  <si>
    <t>BBB</t>
  </si>
  <si>
    <t>Industrials</t>
  </si>
  <si>
    <t>Senior Unsecured</t>
  </si>
  <si>
    <t>N/A</t>
  </si>
  <si>
    <t>Entity B</t>
  </si>
  <si>
    <t>A</t>
  </si>
  <si>
    <t>Financials</t>
  </si>
  <si>
    <t>Entity C</t>
  </si>
  <si>
    <t>BB</t>
  </si>
  <si>
    <t>CDX.NA.IG</t>
  </si>
  <si>
    <t>CDS Index</t>
  </si>
  <si>
    <t>IG</t>
  </si>
  <si>
    <t>Corporate IG</t>
  </si>
  <si>
    <t>Senior</t>
  </si>
  <si>
    <t>iTraxx Europe</t>
  </si>
  <si>
    <t>Purpose</t>
  </si>
  <si>
    <t>Credit market-rate master table for use by the SIMM trade/calculation sheet.</t>
  </si>
  <si>
    <t>Input convention</t>
  </si>
  <si>
    <t>Yellow cells are intended for market data. Populate actual entity/index spreads by tenor; do not use these illustrative entity names as real market observations.</t>
  </si>
  <si>
    <t>SIMM use</t>
  </si>
  <si>
    <t>The market spread/curve supports valuation and sensitivity generation. The SIMM calculation then uses the resulting Credit Delta/Vega/Curvature sensitivities as applicable.</t>
  </si>
  <si>
    <t>CALCUALTION OF INITIAL MARGIN AS PER ISDA SIMM</t>
  </si>
  <si>
    <t>#1</t>
  </si>
  <si>
    <t>Equity Delta &amp; Vega &amp; Curvature - S&amp;P 500</t>
  </si>
  <si>
    <t>Equity Delta &amp; Vega &amp; Curvature - Euro Stoxx 50</t>
  </si>
  <si>
    <t>#2</t>
  </si>
  <si>
    <t>Equity Vega Sensitivity</t>
  </si>
  <si>
    <t>Equity Curvature Sensitivity</t>
  </si>
  <si>
    <t>Vega Calculation</t>
  </si>
  <si>
    <t>Vega</t>
  </si>
  <si>
    <t>N(d1) / PDF(d1)</t>
  </si>
  <si>
    <t>Delta Amount</t>
  </si>
  <si>
    <t>Equity Vega Value</t>
  </si>
  <si>
    <t>-</t>
  </si>
  <si>
    <t>Vega for 1%</t>
  </si>
  <si>
    <t>Curvature Calculation</t>
  </si>
  <si>
    <t>Gamma</t>
  </si>
  <si>
    <t>Option Price</t>
  </si>
  <si>
    <t>Option Prices</t>
  </si>
  <si>
    <t xml:space="preserve">Risk weight as per SIMM </t>
  </si>
  <si>
    <t>SIMM Shock</t>
  </si>
  <si>
    <t>Base Option Value</t>
  </si>
  <si>
    <t>Up Shock Spot</t>
  </si>
  <si>
    <t>Down Shock Spot</t>
  </si>
  <si>
    <t>Up Shock Option Value</t>
  </si>
  <si>
    <t>Down Shock Option Value</t>
  </si>
  <si>
    <t>Up P&amp;L</t>
  </si>
  <si>
    <t>Down P&amp;L</t>
  </si>
  <si>
    <t>Up Delta P&amp;L</t>
  </si>
  <si>
    <t>Down Delta P&amp;L</t>
  </si>
  <si>
    <t>Up Curvature Residual</t>
  </si>
  <si>
    <t>Down Curvature Residual</t>
  </si>
  <si>
    <t>CVR - Long</t>
  </si>
  <si>
    <t>CVR - Short</t>
  </si>
  <si>
    <t>Step 1</t>
  </si>
  <si>
    <t>Calculate the expiry Scaling factor after Up and down curvature residual</t>
  </si>
  <si>
    <t>SF</t>
  </si>
  <si>
    <t>Scaling factor</t>
  </si>
  <si>
    <t>Equity Curvature</t>
  </si>
  <si>
    <t>Interest Delta</t>
  </si>
  <si>
    <t>Interest Delta Sensitivity</t>
  </si>
  <si>
    <t>Interest Rate Delta</t>
  </si>
  <si>
    <t>Product Tyoe</t>
  </si>
  <si>
    <t>Notional</t>
  </si>
  <si>
    <t>Maturity Date</t>
  </si>
  <si>
    <t>Days to Expiry</t>
  </si>
  <si>
    <t>Floating Index</t>
  </si>
  <si>
    <t>Sub Curve</t>
  </si>
  <si>
    <t>Spread</t>
  </si>
  <si>
    <t>Projection Curve</t>
  </si>
  <si>
    <t>Zero rate</t>
  </si>
  <si>
    <t>Forward SOFR</t>
  </si>
  <si>
    <t>Period</t>
  </si>
  <si>
    <t>Start Date</t>
  </si>
  <si>
    <t>End Date</t>
  </si>
  <si>
    <t>Days</t>
  </si>
  <si>
    <t>Year Fraction</t>
  </si>
  <si>
    <t>Total rate</t>
  </si>
  <si>
    <t>cash flow</t>
  </si>
  <si>
    <t>PV</t>
  </si>
  <si>
    <t>Base  PV</t>
  </si>
  <si>
    <t>PV -1 bp</t>
  </si>
  <si>
    <t>PV +1  bp</t>
  </si>
  <si>
    <t>IR Delta/PV01</t>
  </si>
  <si>
    <t>Scenario</t>
  </si>
  <si>
    <t>Spot</t>
  </si>
  <si>
    <t>Black-Scholes Option Price</t>
  </si>
  <si>
    <t>Base</t>
  </si>
  <si>
    <t>Up +15%</t>
  </si>
  <si>
    <t>Down -15%</t>
  </si>
  <si>
    <t>T</t>
  </si>
  <si>
    <t>Discount Factor +1</t>
  </si>
  <si>
    <t>Discount Factor -1</t>
  </si>
  <si>
    <t>Cash Flow up</t>
  </si>
  <si>
    <t>Cash Flow Down</t>
  </si>
  <si>
    <t>Weighted Delta</t>
  </si>
  <si>
    <t>Weighted Vega</t>
  </si>
  <si>
    <t>Weighted Curvature</t>
  </si>
  <si>
    <t>Classify each trade into risk class and product class and Compute Sensitivities for Each trade</t>
  </si>
  <si>
    <t>Concentration Threshold</t>
  </si>
  <si>
    <t>Concentration Ratio</t>
  </si>
  <si>
    <t>Concentration Multiplier</t>
  </si>
  <si>
    <t>EQUITY DELTA</t>
  </si>
  <si>
    <t>Curvature</t>
  </si>
  <si>
    <t>IR</t>
  </si>
  <si>
    <t>Concentration Adjusted Delta</t>
  </si>
  <si>
    <t>Concentration Adjusted Vega</t>
  </si>
  <si>
    <t>Senitivities</t>
  </si>
  <si>
    <t>Concentration Adjusted Curvature</t>
  </si>
  <si>
    <t>Concentration Adjusted IR</t>
  </si>
  <si>
    <t>Trade Details</t>
  </si>
  <si>
    <t>SIMM</t>
  </si>
  <si>
    <t>Weighted Sensitivities</t>
  </si>
  <si>
    <t>Delta Weighted Sensitivities</t>
  </si>
  <si>
    <t>VEGA Weighted Sensitivities</t>
  </si>
  <si>
    <t>CURVATURE Weighted Sensitivities</t>
  </si>
  <si>
    <t>IR Weighted Sensitivities</t>
  </si>
  <si>
    <t>Weighted IR</t>
  </si>
  <si>
    <t>#3</t>
  </si>
  <si>
    <t>Aggreration of Sensitivities</t>
  </si>
  <si>
    <t>Risk Factor</t>
  </si>
  <si>
    <t>Trade Data</t>
  </si>
  <si>
    <t>Aggr. IR Delta</t>
  </si>
  <si>
    <t>Aggr. Weighted Curvature</t>
  </si>
  <si>
    <t>Aggr. Weighted Vega</t>
  </si>
  <si>
    <t>Aggr. Weighted Delta</t>
  </si>
  <si>
    <t>#4</t>
  </si>
  <si>
    <t>Equity Correlations Matrix</t>
  </si>
  <si>
    <t>Equity Risk factor</t>
  </si>
  <si>
    <t>Equity Delta K</t>
  </si>
  <si>
    <t>Equity Vega K</t>
  </si>
  <si>
    <t>Equity Curvature K</t>
  </si>
  <si>
    <t>IR Delta Delta</t>
  </si>
  <si>
    <t>Equity Risk Class Margin</t>
  </si>
  <si>
    <t>IR Risk Class Margin</t>
  </si>
  <si>
    <t>Correlation across Equity and Interest Rate</t>
  </si>
  <si>
    <t>Risk Class</t>
  </si>
  <si>
    <t>Final SIMM Equity Trades</t>
  </si>
  <si>
    <t>IM</t>
  </si>
  <si>
    <t xml:space="preserve">USD SOFR </t>
  </si>
  <si>
    <t>USD SOFR 5Y Swap</t>
  </si>
  <si>
    <t>3M USD Rate</t>
  </si>
  <si>
    <t xml:space="preserve">~85 bps </t>
  </si>
  <si>
    <t xml:space="preserve">~80 bps </t>
  </si>
  <si>
    <t>USD SOFR OIS / EUR €STR OIS</t>
  </si>
  <si>
    <t>USD SOFR OIS</t>
  </si>
  <si>
    <t>USD SOFR / EUR €STR</t>
  </si>
  <si>
    <t>USD SOFR 3M</t>
  </si>
  <si>
    <t>USD SOFR 3M Swap Curve</t>
  </si>
  <si>
    <t>USD SOFR 3M / Money Market Curve</t>
  </si>
  <si>
    <t xml:space="preserve"> 28-Feb-2027</t>
  </si>
  <si>
    <t>Interest Rate Products – Cash Flow &amp; Present Value</t>
  </si>
  <si>
    <t>Valuation date</t>
  </si>
  <si>
    <t>Method</t>
  </si>
  <si>
    <t>Trade-date cash-flow schedule; PV discounted from each payment date using the USD SOFR/OIS curve</t>
  </si>
  <si>
    <t>Inputs / Assumptions</t>
  </si>
  <si>
    <t>USD SOFR/OIS Curve (from Market Rates)</t>
  </si>
  <si>
    <t>Cap strike (TRD-2026-019)</t>
  </si>
  <si>
    <t>Enter strike rate; required to calculate cap cash flows/PV</t>
  </si>
  <si>
    <t>Swaption implied volatility</t>
  </si>
  <si>
    <t>Not in source file; required for option PV</t>
  </si>
  <si>
    <t>Swaption exercise probability</t>
  </si>
  <si>
    <t>Set to 1 only for an exercised underlying; otherwise option PV requires option model</t>
  </si>
  <si>
    <t>Product</t>
  </si>
  <si>
    <t>Cash Flow Date</t>
  </si>
  <si>
    <t>Period Start</t>
  </si>
  <si>
    <t>Period End</t>
  </si>
  <si>
    <t>Fixed/Strike</t>
  </si>
  <si>
    <t>Forward/Float Rate</t>
  </si>
  <si>
    <t>Net CF</t>
  </si>
  <si>
    <t>Discount Rate</t>
  </si>
  <si>
    <t>Status</t>
  </si>
  <si>
    <t>IRS Fixed vs Floating</t>
  </si>
  <si>
    <t>OK</t>
  </si>
  <si>
    <t>3M SOFR Cap</t>
  </si>
  <si>
    <t>6x9 FRA</t>
  </si>
  <si>
    <t>PV Summary by Trade</t>
  </si>
  <si>
    <t>Payer Swaption</t>
  </si>
  <si>
    <t>Total modeled PV</t>
  </si>
  <si>
    <t>Important</t>
  </si>
  <si>
    <t>• PV is based on cash flows dated from each trade date, not from a generic valuation date.</t>
  </si>
  <si>
    <t>• Floating rates are derived from the supplied USD SOFR/OIS zero-rate curve using simple discount-factor interpolation.</t>
  </si>
  <si>
    <t>• IRS/OIS signs follow the stated position: Pay Fixed / Receive Floating = positive when floating exceeds fixed.</t>
  </si>
  <si>
    <t>• Cap strike is not supplied in the source file; enter it in B5 before relying on the cap PV.</t>
  </si>
  <si>
    <t>• Swaption premium/volatility is not supplied, so its option PV is not calculated in this cash-flow sheet; the underlying swap is conditional on exercise.</t>
  </si>
  <si>
    <t>• FRA is settled at the borrowing-period start date using the standard discounted FRA settlement convention.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</si>
</sst>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14009]dd\ mmmm\ yyyy;@"/>
    <numFmt numFmtId="165" formatCode="0\ &quot;Days&quot;"/>
    <numFmt numFmtId="166" formatCode="0.0000"/>
    <numFmt numFmtId="167" formatCode="0.000"/>
    <numFmt numFmtId="168" formatCode="0.00000000"/>
    <numFmt numFmtId="169" formatCode="0.000000"/>
    <numFmt numFmtId="170" formatCode="[$-F800]dddd\,\ mmmm\ dd\,\ yyyy"/>
    <numFmt numFmtId="172" formatCode="dd\-mmm\-yyyy"/>
    <numFmt numFmtId="173" formatCode="0.0000%"/>
  </numFmts>
  <fonts count="2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9C5700"/>
      <name val="Arial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Aptos Narrow"/>
    </font>
    <font>
      <b/>
      <sz val="11"/>
      <color rgb="FFFFFFFF"/>
      <name val="Aptos Narrow"/>
    </font>
    <font>
      <b/>
      <sz val="11"/>
      <color theme="1"/>
      <name val="Aptos Narrow"/>
      <family val="2"/>
      <scheme val="minor"/>
    </font>
    <font>
      <b/>
      <sz val="14"/>
      <name val="Aptos Narrow"/>
    </font>
    <font>
      <sz val="8"/>
      <name val="Aptos Narrow"/>
      <family val="2"/>
      <scheme val="minor"/>
    </font>
    <font>
      <i/>
      <sz val="10"/>
      <name val="Arial"/>
      <family val="2"/>
    </font>
    <font>
      <u/>
      <sz val="11"/>
      <color theme="1"/>
      <name val="Aptos Narrow"/>
      <family val="2"/>
      <scheme val="minor"/>
    </font>
    <font>
      <b/>
      <i/>
      <u/>
      <sz val="11"/>
      <name val="Aptos Narrow"/>
      <family val="2"/>
    </font>
    <font>
      <i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u/>
      <sz val="12"/>
      <name val="Aptos Narrow"/>
      <family val="2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b/>
      <sz val="11"/>
      <name val="Aptos Narrow"/>
      <family val="2"/>
    </font>
    <font>
      <b/>
      <sz val="11"/>
      <color rgb="FFFFFFFF"/>
      <name val="Aptos Narrow"/>
      <family val="2"/>
    </font>
    <font>
      <sz val="12"/>
      <name val="Aptos Narrow"/>
      <family val="2"/>
    </font>
    <font>
      <sz val="11"/>
      <color rgb="FFFFFFFF"/>
      <name val="Aptos Narrow"/>
      <family val="2"/>
    </font>
    <font>
      <sz val="11"/>
      <name val="Aptos Narrow"/>
      <family val="2"/>
    </font>
    <font>
      <sz val="20"/>
      <color rgb="FF002060"/>
      <name val="Algerian"/>
      <family val="5"/>
    </font>
    <font>
      <b/>
      <u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3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  <xf numFmtId="0" fontId="8" fillId="0" borderId="0" xfId="0" applyFont="1"/>
    <xf numFmtId="166" fontId="0" fillId="0" borderId="1" xfId="0" applyNumberForma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70" fontId="8" fillId="0" borderId="1" xfId="0" applyNumberFormat="1" applyFont="1" applyBorder="1"/>
    <xf numFmtId="10" fontId="8" fillId="0" borderId="1" xfId="0" applyNumberFormat="1" applyFont="1" applyBorder="1"/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/>
    <xf numFmtId="0" fontId="9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indent="6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/>
    </xf>
    <xf numFmtId="164" fontId="8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ill="1"/>
    <xf numFmtId="0" fontId="7" fillId="6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10" fontId="0" fillId="5" borderId="1" xfId="0" applyNumberFormat="1" applyFill="1" applyBorder="1"/>
    <xf numFmtId="10" fontId="0" fillId="5" borderId="1" xfId="0" applyNumberForma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10" fontId="0" fillId="0" borderId="1" xfId="0" applyNumberFormat="1" applyFont="1" applyFill="1" applyBorder="1" applyAlignment="1">
      <alignment vertical="center" wrapText="1"/>
    </xf>
    <xf numFmtId="0" fontId="13" fillId="0" borderId="0" xfId="0" applyFont="1"/>
    <xf numFmtId="0" fontId="14" fillId="0" borderId="0" xfId="0" applyFont="1" applyAlignment="1">
      <alignment vertical="top" wrapText="1"/>
    </xf>
    <xf numFmtId="0" fontId="14" fillId="0" borderId="0" xfId="0" applyFont="1"/>
    <xf numFmtId="0" fontId="14" fillId="0" borderId="0" xfId="0" applyFont="1"/>
    <xf numFmtId="0" fontId="16" fillId="0" borderId="0" xfId="0" applyFont="1"/>
    <xf numFmtId="0" fontId="6" fillId="7" borderId="1" xfId="0" applyFont="1" applyFill="1" applyBorder="1" applyAlignment="1">
      <alignment horizontal="center" wrapText="1"/>
    </xf>
    <xf numFmtId="10" fontId="0" fillId="0" borderId="1" xfId="0" applyNumberFormat="1" applyBorder="1"/>
    <xf numFmtId="169" fontId="0" fillId="0" borderId="1" xfId="0" applyNumberForma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166" fontId="0" fillId="0" borderId="1" xfId="0" applyNumberFormat="1" applyBorder="1" applyAlignment="1">
      <alignment horizontal="center" vertical="center"/>
    </xf>
    <xf numFmtId="9" fontId="0" fillId="0" borderId="1" xfId="0" applyNumberFormat="1" applyBorder="1"/>
    <xf numFmtId="0" fontId="15" fillId="0" borderId="1" xfId="0" applyFont="1" applyBorder="1"/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7" fillId="0" borderId="0" xfId="0" applyFont="1"/>
    <xf numFmtId="0" fontId="8" fillId="0" borderId="1" xfId="0" applyFont="1" applyFill="1" applyBorder="1"/>
    <xf numFmtId="0" fontId="18" fillId="0" borderId="1" xfId="0" applyFont="1" applyFill="1" applyBorder="1"/>
    <xf numFmtId="166" fontId="18" fillId="0" borderId="1" xfId="0" applyNumberFormat="1" applyFont="1" applyFill="1" applyBorder="1"/>
    <xf numFmtId="0" fontId="0" fillId="0" borderId="12" xfId="0" applyBorder="1" applyAlignment="1">
      <alignment horizontal="center"/>
    </xf>
    <xf numFmtId="15" fontId="5" fillId="0" borderId="1" xfId="0" applyNumberFormat="1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/>
    </xf>
    <xf numFmtId="170" fontId="5" fillId="0" borderId="1" xfId="0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72" fontId="0" fillId="0" borderId="1" xfId="0" applyNumberFormat="1" applyBorder="1" applyAlignment="1">
      <alignment horizontal="left"/>
    </xf>
    <xf numFmtId="0" fontId="20" fillId="0" borderId="1" xfId="0" applyFont="1" applyBorder="1" applyAlignment="1">
      <alignment horizontal="left"/>
    </xf>
    <xf numFmtId="10" fontId="0" fillId="5" borderId="1" xfId="0" applyNumberFormat="1" applyFill="1" applyBorder="1" applyAlignment="1">
      <alignment horizontal="left"/>
    </xf>
    <xf numFmtId="0" fontId="20" fillId="7" borderId="1" xfId="0" applyFont="1" applyFill="1" applyBorder="1" applyAlignment="1">
      <alignment horizontal="left"/>
    </xf>
    <xf numFmtId="173" fontId="0" fillId="0" borderId="1" xfId="0" applyNumberFormat="1" applyBorder="1" applyAlignment="1">
      <alignment horizontal="left"/>
    </xf>
    <xf numFmtId="173" fontId="0" fillId="0" borderId="2" xfId="0" applyNumberFormat="1" applyBorder="1"/>
    <xf numFmtId="173" fontId="0" fillId="0" borderId="0" xfId="0" applyNumberFormat="1"/>
    <xf numFmtId="0" fontId="21" fillId="2" borderId="1" xfId="0" applyFont="1" applyFill="1" applyBorder="1" applyAlignment="1">
      <alignment horizontal="left"/>
    </xf>
    <xf numFmtId="173" fontId="21" fillId="2" borderId="1" xfId="0" applyNumberFormat="1" applyFont="1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40" fontId="0" fillId="0" borderId="1" xfId="0" applyNumberFormat="1" applyBorder="1" applyAlignment="1">
      <alignment horizontal="left"/>
    </xf>
    <xf numFmtId="172" fontId="0" fillId="0" borderId="2" xfId="0" applyNumberFormat="1" applyBorder="1"/>
    <xf numFmtId="3" fontId="0" fillId="0" borderId="2" xfId="0" applyNumberFormat="1" applyBorder="1"/>
    <xf numFmtId="40" fontId="0" fillId="0" borderId="2" xfId="0" applyNumberFormat="1" applyBorder="1"/>
    <xf numFmtId="172" fontId="0" fillId="0" borderId="0" xfId="0" applyNumberFormat="1"/>
    <xf numFmtId="0" fontId="22" fillId="0" borderId="1" xfId="0" applyFont="1" applyBorder="1"/>
    <xf numFmtId="172" fontId="0" fillId="0" borderId="1" xfId="0" applyNumberFormat="1" applyBorder="1"/>
    <xf numFmtId="0" fontId="23" fillId="2" borderId="1" xfId="0" applyFont="1" applyFill="1" applyBorder="1"/>
    <xf numFmtId="172" fontId="23" fillId="2" borderId="1" xfId="0" applyNumberFormat="1" applyFont="1" applyFill="1" applyBorder="1"/>
    <xf numFmtId="0" fontId="24" fillId="0" borderId="1" xfId="0" applyFont="1" applyBorder="1"/>
    <xf numFmtId="172" fontId="24" fillId="0" borderId="1" xfId="0" applyNumberFormat="1" applyFont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65" fontId="0" fillId="4" borderId="1" xfId="0" applyNumberFormat="1" applyFill="1" applyBorder="1" applyAlignment="1">
      <alignment horizontal="left" vertical="center"/>
    </xf>
    <xf numFmtId="2" fontId="0" fillId="4" borderId="1" xfId="0" applyNumberFormat="1" applyFill="1" applyBorder="1" applyAlignment="1">
      <alignment horizontal="left" vertical="center"/>
    </xf>
    <xf numFmtId="167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/>
    </xf>
    <xf numFmtId="165" fontId="0" fillId="4" borderId="1" xfId="0" applyNumberFormat="1" applyFill="1" applyBorder="1" applyAlignment="1">
      <alignment horizontal="left"/>
    </xf>
    <xf numFmtId="168" fontId="0" fillId="4" borderId="1" xfId="0" applyNumberForma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4" borderId="0" xfId="0" applyFill="1" applyAlignment="1">
      <alignment horizontal="left"/>
    </xf>
    <xf numFmtId="2" fontId="0" fillId="4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9" fontId="0" fillId="0" borderId="3" xfId="0" applyNumberFormat="1" applyFill="1" applyBorder="1" applyAlignment="1">
      <alignment horizontal="left"/>
    </xf>
    <xf numFmtId="2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4" xfId="0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167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8" fillId="0" borderId="1" xfId="0" applyFont="1" applyBorder="1" applyAlignment="1">
      <alignment horizontal="center"/>
    </xf>
    <xf numFmtId="9" fontId="15" fillId="0" borderId="1" xfId="0" applyNumberFormat="1" applyFont="1" applyBorder="1" applyAlignment="1">
      <alignment horizontal="center"/>
    </xf>
    <xf numFmtId="0" fontId="8" fillId="0" borderId="5" xfId="0" applyFont="1" applyFill="1" applyBorder="1"/>
    <xf numFmtId="0" fontId="8" fillId="0" borderId="6" xfId="0" applyFont="1" applyFill="1" applyBorder="1"/>
    <xf numFmtId="0" fontId="8" fillId="0" borderId="7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8" fillId="0" borderId="10" xfId="0" applyFont="1" applyFill="1" applyBorder="1"/>
    <xf numFmtId="9" fontId="8" fillId="0" borderId="1" xfId="0" applyNumberFormat="1" applyFont="1" applyFill="1" applyBorder="1"/>
    <xf numFmtId="0" fontId="12" fillId="0" borderId="0" xfId="0" applyFont="1" applyFill="1"/>
    <xf numFmtId="0" fontId="25" fillId="11" borderId="1" xfId="0" applyFont="1" applyFill="1" applyBorder="1"/>
    <xf numFmtId="0" fontId="2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2108bd9a5d4bd27/Documents/Desktop/Derivatives%20file.xlsx" TargetMode="External"/><Relationship Id="rId1" Type="http://schemas.openxmlformats.org/officeDocument/2006/relationships/externalLinkPath" Target="Derivatives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e Study"/>
      <sheetName val="Trades Inputs"/>
      <sheetName val="Market Rates"/>
      <sheetName val="BS Delta"/>
      <sheetName val="IR Cash Flow"/>
      <sheetName val="Interest Rate Product"/>
      <sheetName val="Equity Class Product"/>
      <sheetName val="FX Class Product"/>
      <sheetName val="Commodity Class"/>
      <sheetName val="Credit Class"/>
      <sheetName val="Sheet2"/>
    </sheetNames>
    <sheetDataSet>
      <sheetData sheetId="0"/>
      <sheetData sheetId="1"/>
      <sheetData sheetId="2">
        <row r="9">
          <cell r="AF9">
            <v>3.85E-2</v>
          </cell>
          <cell r="AH9">
            <v>3.8803125370789913E-2</v>
          </cell>
        </row>
        <row r="10">
          <cell r="AF10">
            <v>0.04</v>
          </cell>
          <cell r="AH10">
            <v>4.0871459922340314E-2</v>
          </cell>
        </row>
        <row r="11">
          <cell r="AF11">
            <v>4.1500000000000002E-2</v>
          </cell>
          <cell r="AH11">
            <v>4.3782396897132259E-2</v>
          </cell>
        </row>
        <row r="12">
          <cell r="AF12">
            <v>4.2200000000000001E-2</v>
          </cell>
          <cell r="AH12">
            <v>4.3585257166147251E-2</v>
          </cell>
        </row>
        <row r="13">
          <cell r="AF13">
            <v>4.2999999999999997E-2</v>
          </cell>
          <cell r="AH13">
            <v>4.4115302744089924E-2</v>
          </cell>
        </row>
        <row r="14">
          <cell r="AF14">
            <v>4.3999999999999997E-2</v>
          </cell>
          <cell r="AH14">
            <v>4.6465984388196713E-2</v>
          </cell>
        </row>
        <row r="15">
          <cell r="AF15">
            <v>4.4999999999999998E-2</v>
          </cell>
          <cell r="AH15">
            <v>4.7002874480703172E-2</v>
          </cell>
        </row>
        <row r="16">
          <cell r="AF16">
            <v>4.5499999999999999E-2</v>
          </cell>
          <cell r="AH16">
            <v>4.7320000598229495E-2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38DB-2040-4B36-820C-D48765BA3081}">
  <sheetPr>
    <tabColor rgb="FFC00000"/>
  </sheetPr>
  <dimension ref="B2:I40"/>
  <sheetViews>
    <sheetView showGridLines="0" tabSelected="1" workbookViewId="0">
      <selection activeCell="M4" sqref="M4"/>
    </sheetView>
  </sheetViews>
  <sheetFormatPr defaultRowHeight="14.4" x14ac:dyDescent="0.3"/>
  <cols>
    <col min="1" max="1" width="2.88671875" customWidth="1"/>
    <col min="3" max="3" width="58.5546875" bestFit="1" customWidth="1"/>
    <col min="4" max="4" width="8.33203125" bestFit="1" customWidth="1"/>
    <col min="5" max="5" width="15.109375" bestFit="1" customWidth="1"/>
    <col min="6" max="6" width="13.21875" bestFit="1" customWidth="1"/>
    <col min="7" max="7" width="16.21875" bestFit="1" customWidth="1"/>
    <col min="8" max="8" width="29.44140625" customWidth="1"/>
    <col min="9" max="9" width="11.44140625" bestFit="1" customWidth="1"/>
  </cols>
  <sheetData>
    <row r="2" spans="2:9" x14ac:dyDescent="0.3">
      <c r="B2" s="3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4" t="s">
        <v>5</v>
      </c>
      <c r="H2" s="24" t="s">
        <v>6</v>
      </c>
      <c r="I2" s="24" t="s">
        <v>7</v>
      </c>
    </row>
    <row r="3" spans="2:9" ht="28.8" x14ac:dyDescent="0.3">
      <c r="B3" s="35">
        <v>1</v>
      </c>
      <c r="C3" s="36" t="s">
        <v>8</v>
      </c>
      <c r="D3" s="35" t="s">
        <v>9</v>
      </c>
      <c r="E3" s="35" t="s">
        <v>10</v>
      </c>
      <c r="F3" s="37">
        <v>46262</v>
      </c>
      <c r="G3" s="37">
        <v>46627</v>
      </c>
      <c r="H3" s="35" t="s">
        <v>29</v>
      </c>
      <c r="I3" s="35" t="s">
        <v>11</v>
      </c>
    </row>
    <row r="4" spans="2:9" ht="30" customHeight="1" x14ac:dyDescent="0.3">
      <c r="B4" s="35">
        <v>2</v>
      </c>
      <c r="C4" s="36" t="s">
        <v>12</v>
      </c>
      <c r="D4" s="35" t="s">
        <v>9</v>
      </c>
      <c r="E4" s="35" t="s">
        <v>13</v>
      </c>
      <c r="F4" s="37">
        <v>46262</v>
      </c>
      <c r="G4" s="37">
        <v>46627</v>
      </c>
      <c r="H4" s="36" t="s">
        <v>14</v>
      </c>
      <c r="I4" s="35" t="s">
        <v>15</v>
      </c>
    </row>
    <row r="5" spans="2:9" ht="28.8" x14ac:dyDescent="0.3">
      <c r="B5" s="35">
        <v>3</v>
      </c>
      <c r="C5" s="36" t="s">
        <v>16</v>
      </c>
      <c r="D5" s="35" t="s">
        <v>17</v>
      </c>
      <c r="E5" s="35" t="s">
        <v>18</v>
      </c>
      <c r="F5" s="37">
        <v>46262</v>
      </c>
      <c r="G5" s="37">
        <v>46446</v>
      </c>
      <c r="H5" s="36" t="s">
        <v>19</v>
      </c>
      <c r="I5" s="35" t="s">
        <v>20</v>
      </c>
    </row>
    <row r="6" spans="2:9" ht="28.8" x14ac:dyDescent="0.3">
      <c r="B6" s="35">
        <v>4</v>
      </c>
      <c r="C6" s="36" t="s">
        <v>21</v>
      </c>
      <c r="D6" s="35" t="s">
        <v>9</v>
      </c>
      <c r="E6" s="35" t="s">
        <v>22</v>
      </c>
      <c r="F6" s="37">
        <v>46262</v>
      </c>
      <c r="G6" s="37">
        <v>47358</v>
      </c>
      <c r="H6" s="35" t="s">
        <v>23</v>
      </c>
      <c r="I6" s="35" t="s">
        <v>24</v>
      </c>
    </row>
    <row r="7" spans="2:9" ht="28.8" x14ac:dyDescent="0.3">
      <c r="B7" s="35">
        <v>5</v>
      </c>
      <c r="C7" s="36" t="s">
        <v>25</v>
      </c>
      <c r="D7" s="35" t="s">
        <v>9</v>
      </c>
      <c r="E7" s="35" t="s">
        <v>26</v>
      </c>
      <c r="F7" s="37">
        <v>46262</v>
      </c>
      <c r="G7" s="37">
        <v>46374</v>
      </c>
      <c r="H7" s="35" t="s">
        <v>27</v>
      </c>
      <c r="I7" s="35" t="s">
        <v>28</v>
      </c>
    </row>
    <row r="8" spans="2:9" ht="28.8" x14ac:dyDescent="0.3">
      <c r="B8" s="35">
        <v>6</v>
      </c>
      <c r="C8" s="35" t="s">
        <v>30</v>
      </c>
      <c r="D8" s="35" t="s">
        <v>17</v>
      </c>
      <c r="E8" s="35" t="s">
        <v>31</v>
      </c>
      <c r="F8" s="37">
        <v>46262</v>
      </c>
      <c r="G8" s="37">
        <v>46627</v>
      </c>
      <c r="H8" s="36" t="s">
        <v>32</v>
      </c>
      <c r="I8" s="35" t="s">
        <v>33</v>
      </c>
    </row>
    <row r="9" spans="2:9" ht="28.8" x14ac:dyDescent="0.3">
      <c r="B9" s="35">
        <v>7</v>
      </c>
      <c r="C9" s="36" t="s">
        <v>34</v>
      </c>
      <c r="D9" s="35" t="s">
        <v>17</v>
      </c>
      <c r="E9" s="35" t="s">
        <v>35</v>
      </c>
      <c r="F9" s="37">
        <v>46262</v>
      </c>
      <c r="G9" s="37">
        <v>46446</v>
      </c>
      <c r="H9" s="36" t="s">
        <v>36</v>
      </c>
      <c r="I9" s="35" t="s">
        <v>37</v>
      </c>
    </row>
    <row r="10" spans="2:9" ht="28.8" x14ac:dyDescent="0.3">
      <c r="B10" s="35">
        <v>8</v>
      </c>
      <c r="C10" s="35" t="s">
        <v>38</v>
      </c>
      <c r="D10" s="35" t="s">
        <v>9</v>
      </c>
      <c r="E10" s="35" t="s">
        <v>39</v>
      </c>
      <c r="F10" s="37">
        <v>46262</v>
      </c>
      <c r="G10" s="37">
        <v>46627</v>
      </c>
      <c r="H10" s="36" t="s">
        <v>40</v>
      </c>
      <c r="I10" s="35" t="s">
        <v>41</v>
      </c>
    </row>
    <row r="11" spans="2:9" ht="28.8" x14ac:dyDescent="0.3">
      <c r="B11" s="35">
        <v>9</v>
      </c>
      <c r="C11" s="36" t="s">
        <v>42</v>
      </c>
      <c r="D11" s="35" t="s">
        <v>9</v>
      </c>
      <c r="E11" s="35" t="s">
        <v>43</v>
      </c>
      <c r="F11" s="37">
        <v>46262</v>
      </c>
      <c r="G11" s="37">
        <v>48088</v>
      </c>
      <c r="H11" s="36" t="s">
        <v>44</v>
      </c>
      <c r="I11" s="35" t="s">
        <v>45</v>
      </c>
    </row>
    <row r="12" spans="2:9" ht="28.8" x14ac:dyDescent="0.3">
      <c r="B12" s="35">
        <v>10</v>
      </c>
      <c r="C12" s="36" t="s">
        <v>46</v>
      </c>
      <c r="D12" s="35" t="s">
        <v>17</v>
      </c>
      <c r="E12" s="35" t="s">
        <v>47</v>
      </c>
      <c r="F12" s="37">
        <v>46262</v>
      </c>
      <c r="G12" s="37">
        <v>46446</v>
      </c>
      <c r="H12" s="36" t="s">
        <v>48</v>
      </c>
      <c r="I12" s="35" t="s">
        <v>49</v>
      </c>
    </row>
    <row r="13" spans="2:9" ht="43.2" x14ac:dyDescent="0.3">
      <c r="B13" s="35">
        <v>11</v>
      </c>
      <c r="C13" s="36" t="s">
        <v>50</v>
      </c>
      <c r="D13" s="35" t="s">
        <v>9</v>
      </c>
      <c r="E13" s="35" t="s">
        <v>51</v>
      </c>
      <c r="F13" s="37">
        <v>46262</v>
      </c>
      <c r="G13" s="37">
        <v>46627</v>
      </c>
      <c r="H13" s="36" t="s">
        <v>99</v>
      </c>
      <c r="I13" s="35" t="s">
        <v>52</v>
      </c>
    </row>
    <row r="14" spans="2:9" ht="28.8" x14ac:dyDescent="0.3">
      <c r="B14" s="35">
        <v>12</v>
      </c>
      <c r="C14" s="36" t="s">
        <v>53</v>
      </c>
      <c r="D14" s="35" t="s">
        <v>9</v>
      </c>
      <c r="E14" s="35" t="s">
        <v>51</v>
      </c>
      <c r="F14" s="37">
        <v>46262</v>
      </c>
      <c r="G14" s="37">
        <v>46346</v>
      </c>
      <c r="H14" s="36" t="s">
        <v>54</v>
      </c>
      <c r="I14" s="35" t="s">
        <v>55</v>
      </c>
    </row>
    <row r="15" spans="2:9" ht="28.8" x14ac:dyDescent="0.3">
      <c r="B15" s="35">
        <v>13</v>
      </c>
      <c r="C15" s="36" t="s">
        <v>56</v>
      </c>
      <c r="D15" s="35" t="s">
        <v>9</v>
      </c>
      <c r="E15" s="35" t="s">
        <v>57</v>
      </c>
      <c r="F15" s="37">
        <v>46262</v>
      </c>
      <c r="G15" s="37">
        <v>46446</v>
      </c>
      <c r="H15" s="36" t="s">
        <v>58</v>
      </c>
      <c r="I15" s="35" t="s">
        <v>59</v>
      </c>
    </row>
    <row r="16" spans="2:9" ht="28.8" x14ac:dyDescent="0.3">
      <c r="B16" s="35">
        <v>14</v>
      </c>
      <c r="C16" s="36" t="s">
        <v>60</v>
      </c>
      <c r="D16" s="35" t="s">
        <v>9</v>
      </c>
      <c r="E16" s="35" t="s">
        <v>61</v>
      </c>
      <c r="F16" s="37">
        <v>46262</v>
      </c>
      <c r="G16" s="37">
        <v>46627</v>
      </c>
      <c r="H16" s="36" t="s">
        <v>62</v>
      </c>
      <c r="I16" s="35" t="s">
        <v>63</v>
      </c>
    </row>
    <row r="17" spans="2:9" ht="28.8" x14ac:dyDescent="0.3">
      <c r="B17" s="35">
        <v>15</v>
      </c>
      <c r="C17" s="36" t="s">
        <v>64</v>
      </c>
      <c r="D17" s="35" t="s">
        <v>9</v>
      </c>
      <c r="E17" s="35" t="s">
        <v>65</v>
      </c>
      <c r="F17" s="37">
        <v>46262</v>
      </c>
      <c r="G17" s="37">
        <v>46993</v>
      </c>
      <c r="H17" s="36" t="s">
        <v>66</v>
      </c>
      <c r="I17" s="35" t="s">
        <v>67</v>
      </c>
    </row>
    <row r="18" spans="2:9" ht="28.8" x14ac:dyDescent="0.3">
      <c r="B18" s="35">
        <v>16</v>
      </c>
      <c r="C18" s="36" t="s">
        <v>68</v>
      </c>
      <c r="D18" s="35" t="s">
        <v>9</v>
      </c>
      <c r="E18" s="35" t="s">
        <v>69</v>
      </c>
      <c r="F18" s="37">
        <v>46262</v>
      </c>
      <c r="G18" s="37">
        <v>48088</v>
      </c>
      <c r="H18" s="36" t="s">
        <v>70</v>
      </c>
      <c r="I18" s="35" t="s">
        <v>71</v>
      </c>
    </row>
    <row r="19" spans="2:9" ht="28.8" x14ac:dyDescent="0.3">
      <c r="B19" s="35">
        <v>17</v>
      </c>
      <c r="C19" s="36" t="s">
        <v>72</v>
      </c>
      <c r="D19" s="35" t="s">
        <v>9</v>
      </c>
      <c r="E19" s="35" t="s">
        <v>73</v>
      </c>
      <c r="F19" s="37">
        <v>46262</v>
      </c>
      <c r="G19" s="37">
        <v>47358</v>
      </c>
      <c r="H19" s="36" t="s">
        <v>74</v>
      </c>
      <c r="I19" s="35" t="s">
        <v>75</v>
      </c>
    </row>
    <row r="20" spans="2:9" ht="28.8" x14ac:dyDescent="0.3">
      <c r="B20" s="35">
        <v>18</v>
      </c>
      <c r="C20" s="36" t="s">
        <v>76</v>
      </c>
      <c r="D20" s="35" t="s">
        <v>9</v>
      </c>
      <c r="E20" s="35" t="s">
        <v>10</v>
      </c>
      <c r="F20" s="37">
        <v>46262</v>
      </c>
      <c r="G20" s="37">
        <v>48819</v>
      </c>
      <c r="H20" s="36" t="s">
        <v>77</v>
      </c>
      <c r="I20" s="35" t="s">
        <v>78</v>
      </c>
    </row>
    <row r="21" spans="2:9" ht="28.8" x14ac:dyDescent="0.3">
      <c r="B21" s="35">
        <v>19</v>
      </c>
      <c r="C21" s="36" t="s">
        <v>79</v>
      </c>
      <c r="D21" s="35" t="s">
        <v>9</v>
      </c>
      <c r="E21" s="35" t="s">
        <v>26</v>
      </c>
      <c r="F21" s="37">
        <v>46262</v>
      </c>
      <c r="G21" s="37">
        <v>47358</v>
      </c>
      <c r="H21" s="36" t="s">
        <v>80</v>
      </c>
      <c r="I21" s="35" t="s">
        <v>81</v>
      </c>
    </row>
    <row r="22" spans="2:9" ht="43.2" x14ac:dyDescent="0.3">
      <c r="B22" s="35">
        <v>20</v>
      </c>
      <c r="C22" s="36" t="s">
        <v>82</v>
      </c>
      <c r="D22" s="35" t="s">
        <v>9</v>
      </c>
      <c r="E22" s="35" t="s">
        <v>83</v>
      </c>
      <c r="F22" s="37">
        <v>46262</v>
      </c>
      <c r="G22" s="38" t="s">
        <v>84</v>
      </c>
      <c r="H22" s="36" t="s">
        <v>85</v>
      </c>
      <c r="I22" s="35" t="s">
        <v>86</v>
      </c>
    </row>
    <row r="23" spans="2:9" ht="43.2" x14ac:dyDescent="0.3">
      <c r="B23" s="35">
        <v>21</v>
      </c>
      <c r="C23" s="36" t="s">
        <v>87</v>
      </c>
      <c r="D23" s="35" t="s">
        <v>9</v>
      </c>
      <c r="E23" s="35" t="s">
        <v>13</v>
      </c>
      <c r="F23" s="37">
        <v>46262</v>
      </c>
      <c r="G23" s="37">
        <v>48088</v>
      </c>
      <c r="H23" s="36" t="s">
        <v>88</v>
      </c>
      <c r="I23" s="35" t="s">
        <v>89</v>
      </c>
    </row>
    <row r="24" spans="2:9" ht="28.8" x14ac:dyDescent="0.3">
      <c r="B24" s="35">
        <v>22</v>
      </c>
      <c r="C24" s="35" t="s">
        <v>92</v>
      </c>
      <c r="D24" s="35" t="s">
        <v>9</v>
      </c>
      <c r="E24" s="35" t="s">
        <v>26</v>
      </c>
      <c r="F24" s="37">
        <v>46262</v>
      </c>
      <c r="G24" s="37">
        <v>48088</v>
      </c>
      <c r="H24" s="36" t="s">
        <v>90</v>
      </c>
      <c r="I24" s="35" t="s">
        <v>91</v>
      </c>
    </row>
    <row r="25" spans="2:9" ht="43.2" x14ac:dyDescent="0.3">
      <c r="B25" s="35">
        <v>23</v>
      </c>
      <c r="C25" s="36" t="s">
        <v>93</v>
      </c>
      <c r="D25" s="35" t="s">
        <v>9</v>
      </c>
      <c r="E25" s="35" t="s">
        <v>51</v>
      </c>
      <c r="F25" s="37">
        <v>46262</v>
      </c>
      <c r="G25" s="37">
        <v>46446</v>
      </c>
      <c r="H25" s="36" t="s">
        <v>94</v>
      </c>
      <c r="I25" s="35" t="s">
        <v>95</v>
      </c>
    </row>
    <row r="26" spans="2:9" ht="28.8" x14ac:dyDescent="0.3">
      <c r="B26" s="35">
        <v>24</v>
      </c>
      <c r="C26" s="36" t="s">
        <v>96</v>
      </c>
      <c r="D26" s="35" t="s">
        <v>9</v>
      </c>
      <c r="E26" s="35" t="s">
        <v>39</v>
      </c>
      <c r="F26" s="37">
        <v>46262</v>
      </c>
      <c r="G26" s="37">
        <v>46627</v>
      </c>
      <c r="H26" s="36" t="s">
        <v>97</v>
      </c>
      <c r="I26" s="35" t="s">
        <v>98</v>
      </c>
    </row>
    <row r="27" spans="2:9" x14ac:dyDescent="0.3">
      <c r="B27" s="1"/>
      <c r="C27" s="1"/>
      <c r="D27" s="1"/>
      <c r="E27" s="1"/>
      <c r="F27" s="2"/>
      <c r="G27" s="2"/>
      <c r="H27" s="1"/>
      <c r="I27" s="1"/>
    </row>
    <row r="28" spans="2:9" x14ac:dyDescent="0.3">
      <c r="B28" s="1"/>
      <c r="C28" s="1"/>
      <c r="D28" s="1"/>
      <c r="E28" s="1"/>
      <c r="F28" s="2"/>
      <c r="G28" s="2"/>
      <c r="H28" s="1"/>
      <c r="I28" s="1"/>
    </row>
    <row r="29" spans="2:9" x14ac:dyDescent="0.3">
      <c r="B29" s="1"/>
      <c r="C29" s="1"/>
      <c r="D29" s="1"/>
      <c r="E29" s="1"/>
      <c r="F29" s="2"/>
      <c r="G29" s="2"/>
      <c r="H29" s="1"/>
      <c r="I29" s="1"/>
    </row>
    <row r="30" spans="2:9" x14ac:dyDescent="0.3">
      <c r="B30" s="1"/>
      <c r="C30" s="1"/>
      <c r="D30" s="1"/>
      <c r="E30" s="1"/>
      <c r="F30" s="2"/>
      <c r="G30" s="2"/>
      <c r="H30" s="1"/>
      <c r="I30" s="1"/>
    </row>
    <row r="31" spans="2:9" x14ac:dyDescent="0.3">
      <c r="B31" s="1"/>
      <c r="C31" s="1"/>
      <c r="D31" s="1"/>
      <c r="E31" s="1"/>
      <c r="F31" s="2"/>
      <c r="G31" s="2"/>
      <c r="H31" s="1"/>
      <c r="I31" s="1"/>
    </row>
    <row r="32" spans="2:9" x14ac:dyDescent="0.3">
      <c r="B32" s="1"/>
      <c r="C32" s="1"/>
      <c r="D32" s="1"/>
      <c r="E32" s="1"/>
      <c r="F32" s="2"/>
      <c r="G32" s="2"/>
      <c r="H32" s="1"/>
      <c r="I32" s="1"/>
    </row>
    <row r="33" spans="2:9" x14ac:dyDescent="0.3">
      <c r="B33" s="1"/>
      <c r="C33" s="1"/>
      <c r="D33" s="1"/>
      <c r="E33" s="1"/>
      <c r="F33" s="2"/>
      <c r="G33" s="2"/>
      <c r="H33" s="1"/>
      <c r="I33" s="1"/>
    </row>
    <row r="34" spans="2:9" x14ac:dyDescent="0.3">
      <c r="B34" s="1"/>
      <c r="C34" s="1"/>
      <c r="D34" s="1"/>
      <c r="E34" s="1"/>
      <c r="F34" s="2"/>
      <c r="G34" s="2"/>
      <c r="H34" s="1"/>
      <c r="I34" s="1"/>
    </row>
    <row r="35" spans="2:9" x14ac:dyDescent="0.3">
      <c r="B35" s="1"/>
      <c r="C35" s="1"/>
      <c r="D35" s="1"/>
      <c r="E35" s="1"/>
      <c r="F35" s="2"/>
      <c r="G35" s="2"/>
      <c r="H35" s="1"/>
      <c r="I35" s="1"/>
    </row>
    <row r="36" spans="2:9" x14ac:dyDescent="0.3">
      <c r="B36" s="1"/>
      <c r="C36" s="1"/>
      <c r="D36" s="1"/>
      <c r="E36" s="1"/>
      <c r="F36" s="2"/>
      <c r="G36" s="2"/>
      <c r="H36" s="1"/>
      <c r="I36" s="1"/>
    </row>
    <row r="37" spans="2:9" x14ac:dyDescent="0.3">
      <c r="B37" s="1"/>
      <c r="C37" s="1"/>
      <c r="D37" s="1"/>
      <c r="E37" s="1"/>
      <c r="F37" s="2"/>
      <c r="G37" s="2"/>
      <c r="H37" s="1"/>
      <c r="I37" s="1"/>
    </row>
    <row r="38" spans="2:9" x14ac:dyDescent="0.3">
      <c r="B38" s="1"/>
      <c r="C38" s="1"/>
      <c r="D38" s="1"/>
      <c r="E38" s="1"/>
      <c r="F38" s="2"/>
      <c r="G38" s="2"/>
      <c r="H38" s="1"/>
      <c r="I38" s="1"/>
    </row>
    <row r="39" spans="2:9" x14ac:dyDescent="0.3">
      <c r="B39" s="1"/>
      <c r="C39" s="1"/>
      <c r="D39" s="1"/>
      <c r="E39" s="1"/>
      <c r="F39" s="2"/>
      <c r="G39" s="2"/>
      <c r="H39" s="1"/>
      <c r="I39" s="1"/>
    </row>
    <row r="40" spans="2:9" x14ac:dyDescent="0.3">
      <c r="B40" s="1"/>
      <c r="C40" s="1"/>
      <c r="D40" s="1"/>
      <c r="E40" s="1"/>
      <c r="F40" s="2"/>
      <c r="G40" s="2"/>
      <c r="H40" s="1"/>
      <c r="I4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6559-7AB6-49CD-A466-38BA6108339A}">
  <sheetPr>
    <tabColor rgb="FFFFC000"/>
  </sheetPr>
  <dimension ref="A1:BN26"/>
  <sheetViews>
    <sheetView topLeftCell="A12" zoomScale="75" zoomScaleNormal="75" workbookViewId="0">
      <pane xSplit="6" topLeftCell="G1" activePane="topRight" state="frozen"/>
      <selection pane="topRight" activeCell="H25" sqref="H25"/>
    </sheetView>
  </sheetViews>
  <sheetFormatPr defaultRowHeight="14.4" x14ac:dyDescent="0.3"/>
  <cols>
    <col min="1" max="1" width="3" bestFit="1" customWidth="1"/>
    <col min="2" max="2" width="56.6640625" customWidth="1"/>
    <col min="3" max="3" width="18.6640625" customWidth="1"/>
    <col min="4" max="4" width="23.6640625" customWidth="1"/>
    <col min="5" max="5" width="28.109375" customWidth="1"/>
    <col min="6" max="6" width="23" customWidth="1"/>
    <col min="7" max="7" width="16.44140625" customWidth="1"/>
    <col min="8" max="8" width="21.5546875" customWidth="1"/>
    <col min="9" max="9" width="23.33203125" customWidth="1"/>
    <col min="10" max="10" width="16" customWidth="1"/>
    <col min="11" max="11" width="12.21875" customWidth="1"/>
    <col min="12" max="12" width="14.109375" customWidth="1"/>
    <col min="13" max="13" width="17.77734375" customWidth="1"/>
    <col min="14" max="14" width="27.109375" customWidth="1"/>
    <col min="15" max="15" width="24.21875" customWidth="1"/>
    <col min="16" max="16" width="18.88671875" customWidth="1"/>
    <col min="17" max="17" width="19" customWidth="1"/>
    <col min="18" max="18" width="17.44140625" customWidth="1"/>
    <col min="19" max="19" width="21" customWidth="1"/>
    <col min="20" max="20" width="17.88671875" customWidth="1"/>
    <col min="21" max="21" width="17.77734375" customWidth="1"/>
    <col min="22" max="22" width="25.6640625" customWidth="1"/>
    <col min="23" max="23" width="16.5546875" customWidth="1"/>
    <col min="24" max="24" width="20.109375" customWidth="1"/>
    <col min="25" max="25" width="19.5546875" customWidth="1"/>
    <col min="26" max="26" width="17.6640625" customWidth="1"/>
    <col min="27" max="27" width="21.77734375" customWidth="1"/>
    <col min="28" max="28" width="21.109375" customWidth="1"/>
    <col min="29" max="29" width="19.5546875" customWidth="1"/>
    <col min="30" max="30" width="22.5546875" customWidth="1"/>
    <col min="31" max="31" width="17.77734375" customWidth="1"/>
    <col min="32" max="32" width="21.44140625" customWidth="1"/>
    <col min="33" max="33" width="19.21875" customWidth="1"/>
    <col min="34" max="34" width="19.5546875" customWidth="1"/>
    <col min="35" max="35" width="21.21875" customWidth="1"/>
    <col min="36" max="36" width="20.6640625" customWidth="1"/>
    <col min="37" max="37" width="18.5546875" customWidth="1"/>
    <col min="38" max="38" width="21.6640625" customWidth="1"/>
    <col min="39" max="41" width="19.6640625" customWidth="1"/>
    <col min="42" max="42" width="20.5546875" customWidth="1"/>
    <col min="43" max="43" width="22" customWidth="1"/>
    <col min="44" max="44" width="17.88671875" customWidth="1"/>
    <col min="45" max="45" width="20.88671875" customWidth="1"/>
    <col min="46" max="46" width="18.77734375" customWidth="1"/>
    <col min="47" max="47" width="20.44140625" customWidth="1"/>
    <col min="48" max="48" width="22.5546875" customWidth="1"/>
    <col min="49" max="54" width="16.77734375" customWidth="1"/>
    <col min="55" max="55" width="24.21875" customWidth="1"/>
    <col min="56" max="66" width="16.77734375" customWidth="1"/>
  </cols>
  <sheetData>
    <row r="1" spans="1:66" ht="37.950000000000003" customHeight="1" x14ac:dyDescent="0.3">
      <c r="A1" s="3" t="s">
        <v>0</v>
      </c>
      <c r="B1" s="3" t="s">
        <v>147</v>
      </c>
      <c r="C1" s="3" t="s">
        <v>100</v>
      </c>
      <c r="D1" s="3" t="s">
        <v>101</v>
      </c>
      <c r="E1" s="3" t="s">
        <v>102</v>
      </c>
      <c r="F1" s="3" t="s">
        <v>103</v>
      </c>
      <c r="G1" s="3" t="s">
        <v>4</v>
      </c>
      <c r="H1" s="3" t="s">
        <v>104</v>
      </c>
      <c r="I1" s="3" t="s">
        <v>105</v>
      </c>
      <c r="J1" s="3" t="s">
        <v>7</v>
      </c>
      <c r="K1" s="3" t="s">
        <v>106</v>
      </c>
      <c r="L1" s="3" t="s">
        <v>107</v>
      </c>
      <c r="M1" s="3" t="s">
        <v>2</v>
      </c>
      <c r="N1" s="3" t="s">
        <v>108</v>
      </c>
      <c r="O1" s="3" t="s">
        <v>109</v>
      </c>
      <c r="P1" s="3" t="s">
        <v>110</v>
      </c>
      <c r="Q1" s="3" t="s">
        <v>111</v>
      </c>
      <c r="R1" s="3" t="s">
        <v>112</v>
      </c>
      <c r="S1" s="3" t="s">
        <v>148</v>
      </c>
      <c r="T1" s="3" t="s">
        <v>113</v>
      </c>
      <c r="U1" s="3" t="s">
        <v>114</v>
      </c>
      <c r="V1" s="3" t="s">
        <v>115</v>
      </c>
      <c r="W1" s="3" t="s">
        <v>116</v>
      </c>
      <c r="X1" s="3" t="s">
        <v>118</v>
      </c>
      <c r="Y1" s="3" t="s">
        <v>119</v>
      </c>
      <c r="Z1" s="3" t="s">
        <v>120</v>
      </c>
      <c r="AA1" s="3" t="s">
        <v>121</v>
      </c>
      <c r="AB1" s="3" t="s">
        <v>122</v>
      </c>
      <c r="AC1" s="3" t="s">
        <v>124</v>
      </c>
      <c r="AD1" s="3" t="s">
        <v>125</v>
      </c>
      <c r="AE1" s="3" t="s">
        <v>149</v>
      </c>
      <c r="AF1" s="3" t="s">
        <v>150</v>
      </c>
      <c r="AG1" s="3" t="s">
        <v>127</v>
      </c>
      <c r="AH1" s="5" t="s">
        <v>151</v>
      </c>
      <c r="AI1" s="3" t="s">
        <v>152</v>
      </c>
      <c r="AJ1" s="3" t="s">
        <v>128</v>
      </c>
      <c r="AK1" s="3" t="s">
        <v>153</v>
      </c>
      <c r="AL1" s="3" t="s">
        <v>129</v>
      </c>
      <c r="AM1" s="3" t="s">
        <v>130</v>
      </c>
      <c r="AN1" s="3" t="s">
        <v>617</v>
      </c>
      <c r="AO1" s="3" t="s">
        <v>618</v>
      </c>
      <c r="AP1" s="3" t="s">
        <v>154</v>
      </c>
      <c r="AQ1" s="3" t="s">
        <v>131</v>
      </c>
      <c r="AR1" s="3" t="s">
        <v>132</v>
      </c>
      <c r="AS1" s="3" t="s">
        <v>133</v>
      </c>
      <c r="AT1" s="3" t="s">
        <v>134</v>
      </c>
      <c r="AU1" s="3" t="s">
        <v>135</v>
      </c>
      <c r="AV1" s="3" t="s">
        <v>155</v>
      </c>
      <c r="AW1" s="3" t="s">
        <v>136</v>
      </c>
      <c r="AX1" s="3" t="s">
        <v>156</v>
      </c>
      <c r="AY1" s="3" t="s">
        <v>157</v>
      </c>
      <c r="AZ1" s="3" t="s">
        <v>137</v>
      </c>
      <c r="BA1" s="3" t="s">
        <v>138</v>
      </c>
      <c r="BB1" s="3" t="s">
        <v>139</v>
      </c>
      <c r="BC1" s="3" t="s">
        <v>140</v>
      </c>
      <c r="BD1" s="3" t="s">
        <v>141</v>
      </c>
      <c r="BE1" s="3" t="s">
        <v>158</v>
      </c>
      <c r="BF1" s="3" t="s">
        <v>142</v>
      </c>
      <c r="BG1" s="3" t="s">
        <v>159</v>
      </c>
      <c r="BH1" s="3" t="s">
        <v>143</v>
      </c>
      <c r="BI1" s="3" t="s">
        <v>144</v>
      </c>
      <c r="BJ1" s="3" t="s">
        <v>160</v>
      </c>
      <c r="BK1" s="3" t="s">
        <v>161</v>
      </c>
      <c r="BL1" s="3" t="s">
        <v>145</v>
      </c>
      <c r="BM1" s="3" t="s">
        <v>162</v>
      </c>
      <c r="BN1" s="3" t="s">
        <v>146</v>
      </c>
    </row>
    <row r="2" spans="1:66" ht="37.950000000000003" customHeight="1" x14ac:dyDescent="0.3">
      <c r="A2" s="4">
        <v>1</v>
      </c>
      <c r="B2" s="39" t="s">
        <v>163</v>
      </c>
      <c r="C2" s="11" t="s">
        <v>164</v>
      </c>
      <c r="D2" s="11" t="s">
        <v>165</v>
      </c>
      <c r="E2" s="11" t="s">
        <v>166</v>
      </c>
      <c r="F2" s="11" t="s">
        <v>167</v>
      </c>
      <c r="G2" s="11" t="s">
        <v>168</v>
      </c>
      <c r="H2" s="11" t="s">
        <v>169</v>
      </c>
      <c r="I2" s="11" t="s">
        <v>170</v>
      </c>
      <c r="J2" s="11" t="s">
        <v>11</v>
      </c>
      <c r="K2" s="11" t="s">
        <v>517</v>
      </c>
      <c r="L2" s="11" t="s">
        <v>517</v>
      </c>
      <c r="M2" s="11" t="s">
        <v>9</v>
      </c>
      <c r="N2" s="11" t="s">
        <v>171</v>
      </c>
      <c r="O2" s="11" t="s">
        <v>517</v>
      </c>
      <c r="P2" s="40">
        <v>25000000</v>
      </c>
      <c r="Q2" s="11" t="s">
        <v>9</v>
      </c>
      <c r="R2" s="11">
        <v>5100</v>
      </c>
      <c r="S2" s="11">
        <v>5250</v>
      </c>
      <c r="T2" s="11" t="s">
        <v>517</v>
      </c>
      <c r="U2" s="11" t="s">
        <v>517</v>
      </c>
      <c r="V2" s="11" t="s">
        <v>517</v>
      </c>
      <c r="W2" s="11" t="s">
        <v>517</v>
      </c>
      <c r="X2" s="11" t="s">
        <v>517</v>
      </c>
      <c r="Y2" s="11" t="s">
        <v>517</v>
      </c>
      <c r="Z2" s="11" t="s">
        <v>517</v>
      </c>
      <c r="AA2" s="11" t="s">
        <v>517</v>
      </c>
      <c r="AB2" s="11" t="s">
        <v>517</v>
      </c>
      <c r="AC2" s="11" t="s">
        <v>517</v>
      </c>
      <c r="AD2" s="11" t="s">
        <v>517</v>
      </c>
      <c r="AE2" s="11" t="s">
        <v>517</v>
      </c>
      <c r="AF2" s="11" t="s">
        <v>167</v>
      </c>
      <c r="AG2" s="41" t="s">
        <v>172</v>
      </c>
      <c r="AH2" s="41" t="s">
        <v>173</v>
      </c>
      <c r="AI2" s="11" t="s">
        <v>174</v>
      </c>
      <c r="AJ2" s="11" t="s">
        <v>517</v>
      </c>
      <c r="AK2" s="11" t="s">
        <v>517</v>
      </c>
      <c r="AL2" s="11" t="s">
        <v>517</v>
      </c>
      <c r="AM2" s="11" t="s">
        <v>517</v>
      </c>
      <c r="AN2" s="8"/>
      <c r="AO2" s="8"/>
      <c r="AP2" s="6" t="s">
        <v>517</v>
      </c>
      <c r="AQ2" s="6" t="s">
        <v>517</v>
      </c>
      <c r="AR2" s="6" t="s">
        <v>517</v>
      </c>
      <c r="AS2" s="6" t="s">
        <v>517</v>
      </c>
      <c r="AT2" s="8" t="s">
        <v>517</v>
      </c>
      <c r="AU2" s="8" t="s">
        <v>517</v>
      </c>
      <c r="AV2" s="8" t="s">
        <v>517</v>
      </c>
      <c r="AW2" s="8" t="s">
        <v>517</v>
      </c>
      <c r="AX2" s="8" t="s">
        <v>517</v>
      </c>
      <c r="AY2" s="8" t="s">
        <v>517</v>
      </c>
      <c r="AZ2" s="8">
        <v>5100</v>
      </c>
      <c r="BA2" s="6" t="s">
        <v>517</v>
      </c>
      <c r="BB2" s="8" t="s">
        <v>126</v>
      </c>
      <c r="BC2" s="6" t="s">
        <v>175</v>
      </c>
      <c r="BD2" s="6" t="s">
        <v>176</v>
      </c>
      <c r="BE2" s="8" t="s">
        <v>177</v>
      </c>
      <c r="BF2" s="6" t="s">
        <v>178</v>
      </c>
      <c r="BG2" s="6" t="s">
        <v>179</v>
      </c>
      <c r="BH2" s="8" t="s">
        <v>9</v>
      </c>
      <c r="BI2" s="8" t="s">
        <v>517</v>
      </c>
      <c r="BJ2" s="8" t="s">
        <v>169</v>
      </c>
      <c r="BK2" s="8" t="s">
        <v>180</v>
      </c>
      <c r="BL2" s="8" t="s">
        <v>181</v>
      </c>
      <c r="BM2" s="8" t="s">
        <v>11</v>
      </c>
      <c r="BN2" s="8" t="s">
        <v>182</v>
      </c>
    </row>
    <row r="3" spans="1:66" ht="37.950000000000003" customHeight="1" x14ac:dyDescent="0.3">
      <c r="A3" s="4">
        <v>2</v>
      </c>
      <c r="B3" s="39" t="s">
        <v>183</v>
      </c>
      <c r="C3" s="11" t="s">
        <v>184</v>
      </c>
      <c r="D3" s="11" t="s">
        <v>185</v>
      </c>
      <c r="E3" s="11" t="s">
        <v>166</v>
      </c>
      <c r="F3" s="11" t="s">
        <v>167</v>
      </c>
      <c r="G3" s="11" t="s">
        <v>168</v>
      </c>
      <c r="H3" s="11" t="s">
        <v>169</v>
      </c>
      <c r="I3" s="11" t="s">
        <v>186</v>
      </c>
      <c r="J3" s="11" t="s">
        <v>15</v>
      </c>
      <c r="K3" s="11" t="s">
        <v>517</v>
      </c>
      <c r="L3" s="11" t="s">
        <v>517</v>
      </c>
      <c r="M3" s="11" t="s">
        <v>9</v>
      </c>
      <c r="N3" s="11" t="s">
        <v>187</v>
      </c>
      <c r="O3" s="11" t="s">
        <v>517</v>
      </c>
      <c r="P3" s="40">
        <v>10000000</v>
      </c>
      <c r="Q3" s="11" t="s">
        <v>9</v>
      </c>
      <c r="R3" s="11">
        <v>5000</v>
      </c>
      <c r="S3" s="11" t="s">
        <v>517</v>
      </c>
      <c r="T3" s="11">
        <v>5200</v>
      </c>
      <c r="U3" s="11" t="s">
        <v>517</v>
      </c>
      <c r="V3" s="11" t="s">
        <v>517</v>
      </c>
      <c r="W3" s="11" t="s">
        <v>517</v>
      </c>
      <c r="X3" s="11" t="s">
        <v>517</v>
      </c>
      <c r="Y3" s="11" t="s">
        <v>517</v>
      </c>
      <c r="Z3" s="11" t="s">
        <v>517</v>
      </c>
      <c r="AA3" s="11" t="s">
        <v>517</v>
      </c>
      <c r="AB3" s="11" t="s">
        <v>517</v>
      </c>
      <c r="AC3" s="11" t="s">
        <v>517</v>
      </c>
      <c r="AD3" s="11" t="s">
        <v>517</v>
      </c>
      <c r="AE3" s="11" t="s">
        <v>517</v>
      </c>
      <c r="AF3" s="11" t="s">
        <v>167</v>
      </c>
      <c r="AG3" s="41" t="s">
        <v>172</v>
      </c>
      <c r="AH3" s="41" t="s">
        <v>173</v>
      </c>
      <c r="AI3" s="11" t="s">
        <v>174</v>
      </c>
      <c r="AJ3" s="11" t="s">
        <v>517</v>
      </c>
      <c r="AK3" s="11" t="s">
        <v>517</v>
      </c>
      <c r="AL3" s="11" t="s">
        <v>517</v>
      </c>
      <c r="AM3" s="11" t="s">
        <v>517</v>
      </c>
      <c r="AN3" s="8"/>
      <c r="AO3" s="8"/>
      <c r="AP3" s="6" t="s">
        <v>517</v>
      </c>
      <c r="AQ3" s="6" t="s">
        <v>517</v>
      </c>
      <c r="AR3" s="6" t="s">
        <v>517</v>
      </c>
      <c r="AS3" s="6" t="s">
        <v>517</v>
      </c>
      <c r="AT3" s="8" t="s">
        <v>517</v>
      </c>
      <c r="AU3" s="8" t="s">
        <v>188</v>
      </c>
      <c r="AV3" s="8" t="s">
        <v>189</v>
      </c>
      <c r="AW3" s="10" t="s">
        <v>190</v>
      </c>
      <c r="AX3" s="8">
        <v>5200</v>
      </c>
      <c r="AY3" s="8" t="s">
        <v>169</v>
      </c>
      <c r="AZ3" s="8">
        <v>5000</v>
      </c>
      <c r="BA3" s="13">
        <v>0.18</v>
      </c>
      <c r="BB3" s="8" t="s">
        <v>126</v>
      </c>
      <c r="BC3" s="6" t="s">
        <v>175</v>
      </c>
      <c r="BD3" s="6" t="s">
        <v>685</v>
      </c>
      <c r="BE3" s="8" t="s">
        <v>177</v>
      </c>
      <c r="BF3" s="6" t="s">
        <v>178</v>
      </c>
      <c r="BG3" s="6" t="s">
        <v>179</v>
      </c>
      <c r="BH3" s="8" t="s">
        <v>9</v>
      </c>
      <c r="BI3" s="8" t="s">
        <v>191</v>
      </c>
      <c r="BJ3" s="8" t="s">
        <v>169</v>
      </c>
      <c r="BK3" s="8" t="s">
        <v>180</v>
      </c>
      <c r="BL3" s="8" t="s">
        <v>192</v>
      </c>
      <c r="BM3" s="8" t="s">
        <v>15</v>
      </c>
      <c r="BN3" s="8" t="s">
        <v>182</v>
      </c>
    </row>
    <row r="4" spans="1:66" ht="37.950000000000003" customHeight="1" x14ac:dyDescent="0.3">
      <c r="A4" s="4">
        <v>3</v>
      </c>
      <c r="B4" s="39" t="s">
        <v>193</v>
      </c>
      <c r="C4" s="11" t="s">
        <v>194</v>
      </c>
      <c r="D4" s="11" t="s">
        <v>195</v>
      </c>
      <c r="E4" s="11" t="s">
        <v>166</v>
      </c>
      <c r="F4" s="11" t="s">
        <v>196</v>
      </c>
      <c r="G4" s="11" t="s">
        <v>168</v>
      </c>
      <c r="H4" s="11" t="s">
        <v>197</v>
      </c>
      <c r="I4" s="11" t="s">
        <v>186</v>
      </c>
      <c r="J4" s="11" t="s">
        <v>20</v>
      </c>
      <c r="K4" s="11" t="s">
        <v>517</v>
      </c>
      <c r="L4" s="11" t="s">
        <v>517</v>
      </c>
      <c r="M4" s="11" t="s">
        <v>17</v>
      </c>
      <c r="N4" s="11" t="s">
        <v>198</v>
      </c>
      <c r="O4" s="11" t="s">
        <v>517</v>
      </c>
      <c r="P4" s="40">
        <v>12000000</v>
      </c>
      <c r="Q4" s="11" t="s">
        <v>17</v>
      </c>
      <c r="R4" s="11">
        <v>5250</v>
      </c>
      <c r="S4" s="11" t="s">
        <v>517</v>
      </c>
      <c r="T4" s="11">
        <v>5000</v>
      </c>
      <c r="U4" s="11" t="s">
        <v>517</v>
      </c>
      <c r="V4" s="11" t="s">
        <v>517</v>
      </c>
      <c r="W4" s="11" t="s">
        <v>517</v>
      </c>
      <c r="X4" s="11" t="s">
        <v>517</v>
      </c>
      <c r="Y4" s="11" t="s">
        <v>517</v>
      </c>
      <c r="Z4" s="11" t="s">
        <v>517</v>
      </c>
      <c r="AA4" s="11" t="s">
        <v>517</v>
      </c>
      <c r="AB4" s="11" t="s">
        <v>517</v>
      </c>
      <c r="AC4" s="11" t="s">
        <v>517</v>
      </c>
      <c r="AD4" s="11" t="s">
        <v>517</v>
      </c>
      <c r="AE4" s="11" t="s">
        <v>517</v>
      </c>
      <c r="AF4" s="11" t="s">
        <v>196</v>
      </c>
      <c r="AG4" s="41" t="s">
        <v>199</v>
      </c>
      <c r="AH4" s="41" t="s">
        <v>173</v>
      </c>
      <c r="AI4" s="11" t="s">
        <v>174</v>
      </c>
      <c r="AJ4" s="11" t="s">
        <v>517</v>
      </c>
      <c r="AK4" s="11" t="s">
        <v>517</v>
      </c>
      <c r="AL4" s="11" t="s">
        <v>517</v>
      </c>
      <c r="AM4" s="11" t="s">
        <v>517</v>
      </c>
      <c r="AN4" s="8"/>
      <c r="AO4" s="8"/>
      <c r="AP4" s="6" t="s">
        <v>517</v>
      </c>
      <c r="AQ4" s="6" t="s">
        <v>517</v>
      </c>
      <c r="AR4" s="6" t="s">
        <v>517</v>
      </c>
      <c r="AS4" s="6" t="s">
        <v>517</v>
      </c>
      <c r="AT4" s="8" t="s">
        <v>517</v>
      </c>
      <c r="AU4" s="8" t="s">
        <v>200</v>
      </c>
      <c r="AV4" s="8" t="s">
        <v>201</v>
      </c>
      <c r="AW4" s="10" t="s">
        <v>190</v>
      </c>
      <c r="AX4" s="11" t="s">
        <v>519</v>
      </c>
      <c r="AY4" s="8" t="s">
        <v>197</v>
      </c>
      <c r="AZ4" s="11" t="s">
        <v>520</v>
      </c>
      <c r="BA4" s="13">
        <v>0.2</v>
      </c>
      <c r="BB4" s="8" t="s">
        <v>126</v>
      </c>
      <c r="BC4" s="6" t="s">
        <v>175</v>
      </c>
      <c r="BD4" s="6" t="s">
        <v>686</v>
      </c>
      <c r="BE4" s="8" t="s">
        <v>177</v>
      </c>
      <c r="BF4" s="6" t="s">
        <v>202</v>
      </c>
      <c r="BG4" s="6" t="s">
        <v>179</v>
      </c>
      <c r="BH4" s="8" t="s">
        <v>17</v>
      </c>
      <c r="BI4" s="8" t="s">
        <v>203</v>
      </c>
      <c r="BJ4" s="8" t="s">
        <v>197</v>
      </c>
      <c r="BK4" s="8" t="s">
        <v>180</v>
      </c>
      <c r="BL4" s="8" t="s">
        <v>204</v>
      </c>
      <c r="BM4" s="8" t="s">
        <v>20</v>
      </c>
      <c r="BN4" s="8" t="s">
        <v>182</v>
      </c>
    </row>
    <row r="5" spans="1:66" ht="37.950000000000003" customHeight="1" x14ac:dyDescent="0.3">
      <c r="A5" s="4">
        <v>4</v>
      </c>
      <c r="B5" s="39" t="s">
        <v>205</v>
      </c>
      <c r="C5" s="11" t="s">
        <v>206</v>
      </c>
      <c r="D5" s="11" t="s">
        <v>207</v>
      </c>
      <c r="E5" s="11" t="s">
        <v>208</v>
      </c>
      <c r="F5" s="11" t="s">
        <v>167</v>
      </c>
      <c r="G5" s="11" t="s">
        <v>168</v>
      </c>
      <c r="H5" s="11" t="s">
        <v>209</v>
      </c>
      <c r="I5" s="11" t="s">
        <v>210</v>
      </c>
      <c r="J5" s="11" t="s">
        <v>24</v>
      </c>
      <c r="K5" s="11" t="s">
        <v>517</v>
      </c>
      <c r="L5" s="11" t="s">
        <v>517</v>
      </c>
      <c r="M5" s="11" t="s">
        <v>9</v>
      </c>
      <c r="N5" s="11" t="s">
        <v>211</v>
      </c>
      <c r="O5" s="11" t="s">
        <v>517</v>
      </c>
      <c r="P5" s="40">
        <v>30000000</v>
      </c>
      <c r="Q5" s="11" t="s">
        <v>9</v>
      </c>
      <c r="R5" s="11" t="s">
        <v>517</v>
      </c>
      <c r="S5" s="11" t="s">
        <v>517</v>
      </c>
      <c r="T5" s="11" t="s">
        <v>517</v>
      </c>
      <c r="U5" s="11" t="s">
        <v>517</v>
      </c>
      <c r="V5" s="11" t="s">
        <v>212</v>
      </c>
      <c r="W5" s="11" t="s">
        <v>517</v>
      </c>
      <c r="X5" s="11" t="s">
        <v>213</v>
      </c>
      <c r="Y5" s="11" t="s">
        <v>214</v>
      </c>
      <c r="Z5" s="11" t="s">
        <v>215</v>
      </c>
      <c r="AA5" s="11" t="s">
        <v>388</v>
      </c>
      <c r="AB5" s="11" t="s">
        <v>388</v>
      </c>
      <c r="AC5" s="11" t="s">
        <v>517</v>
      </c>
      <c r="AD5" s="11" t="s">
        <v>517</v>
      </c>
      <c r="AE5" s="11" t="s">
        <v>517</v>
      </c>
      <c r="AF5" s="11" t="s">
        <v>167</v>
      </c>
      <c r="AG5" s="41" t="s">
        <v>172</v>
      </c>
      <c r="AH5" s="41" t="s">
        <v>173</v>
      </c>
      <c r="AI5" s="11" t="s">
        <v>174</v>
      </c>
      <c r="AJ5" s="11" t="s">
        <v>517</v>
      </c>
      <c r="AK5" s="11" t="s">
        <v>517</v>
      </c>
      <c r="AL5" s="11" t="s">
        <v>517</v>
      </c>
      <c r="AM5" s="11" t="s">
        <v>517</v>
      </c>
      <c r="AN5" s="8"/>
      <c r="AO5" s="8"/>
      <c r="AP5" s="6" t="s">
        <v>517</v>
      </c>
      <c r="AQ5" s="6" t="s">
        <v>517</v>
      </c>
      <c r="AR5" s="6" t="s">
        <v>517</v>
      </c>
      <c r="AS5" s="6" t="s">
        <v>517</v>
      </c>
      <c r="AT5" s="8" t="s">
        <v>517</v>
      </c>
      <c r="AU5" s="8" t="s">
        <v>517</v>
      </c>
      <c r="AV5" s="8" t="s">
        <v>517</v>
      </c>
      <c r="AW5" s="8" t="s">
        <v>517</v>
      </c>
      <c r="AX5" s="8" t="s">
        <v>517</v>
      </c>
      <c r="AY5" s="8" t="s">
        <v>517</v>
      </c>
      <c r="AZ5" s="8">
        <v>5100</v>
      </c>
      <c r="BA5" s="6" t="s">
        <v>517</v>
      </c>
      <c r="BB5" s="8" t="s">
        <v>612</v>
      </c>
      <c r="BC5" s="6" t="s">
        <v>217</v>
      </c>
      <c r="BD5" s="6" t="s">
        <v>218</v>
      </c>
      <c r="BE5" s="8" t="s">
        <v>219</v>
      </c>
      <c r="BF5" s="6" t="s">
        <v>178</v>
      </c>
      <c r="BG5" s="6" t="s">
        <v>179</v>
      </c>
      <c r="BH5" s="8" t="s">
        <v>9</v>
      </c>
      <c r="BI5" s="8" t="s">
        <v>215</v>
      </c>
      <c r="BJ5" s="8" t="s">
        <v>209</v>
      </c>
      <c r="BK5" s="8" t="s">
        <v>220</v>
      </c>
      <c r="BL5" s="8" t="s">
        <v>221</v>
      </c>
      <c r="BM5" s="8" t="s">
        <v>24</v>
      </c>
      <c r="BN5" s="8" t="s">
        <v>182</v>
      </c>
    </row>
    <row r="6" spans="1:66" ht="37.950000000000003" customHeight="1" x14ac:dyDescent="0.3">
      <c r="A6" s="4">
        <v>5</v>
      </c>
      <c r="B6" s="39" t="s">
        <v>222</v>
      </c>
      <c r="C6" s="11" t="s">
        <v>223</v>
      </c>
      <c r="D6" s="11" t="s">
        <v>224</v>
      </c>
      <c r="E6" s="11" t="s">
        <v>166</v>
      </c>
      <c r="F6" s="11" t="s">
        <v>225</v>
      </c>
      <c r="G6" s="11" t="s">
        <v>168</v>
      </c>
      <c r="H6" s="11" t="s">
        <v>226</v>
      </c>
      <c r="I6" s="11" t="s">
        <v>227</v>
      </c>
      <c r="J6" s="11" t="s">
        <v>28</v>
      </c>
      <c r="K6" s="11" t="s">
        <v>517</v>
      </c>
      <c r="L6" s="11" t="s">
        <v>517</v>
      </c>
      <c r="M6" s="11" t="s">
        <v>9</v>
      </c>
      <c r="N6" s="11" t="s">
        <v>228</v>
      </c>
      <c r="O6" s="11" t="s">
        <v>517</v>
      </c>
      <c r="P6" s="40">
        <v>20000000</v>
      </c>
      <c r="Q6" s="11" t="s">
        <v>9</v>
      </c>
      <c r="R6" s="11">
        <v>22000</v>
      </c>
      <c r="S6" s="11">
        <v>22150</v>
      </c>
      <c r="T6" s="11" t="s">
        <v>517</v>
      </c>
      <c r="U6" s="11" t="s">
        <v>517</v>
      </c>
      <c r="V6" s="11" t="s">
        <v>517</v>
      </c>
      <c r="W6" s="11" t="s">
        <v>517</v>
      </c>
      <c r="X6" s="11" t="s">
        <v>517</v>
      </c>
      <c r="Y6" s="11" t="s">
        <v>517</v>
      </c>
      <c r="Z6" s="11" t="s">
        <v>517</v>
      </c>
      <c r="AA6" s="11" t="s">
        <v>517</v>
      </c>
      <c r="AB6" s="11" t="s">
        <v>517</v>
      </c>
      <c r="AC6" s="11" t="s">
        <v>517</v>
      </c>
      <c r="AD6" s="11" t="s">
        <v>517</v>
      </c>
      <c r="AE6" s="11" t="s">
        <v>517</v>
      </c>
      <c r="AF6" s="11" t="s">
        <v>225</v>
      </c>
      <c r="AG6" s="41" t="s">
        <v>229</v>
      </c>
      <c r="AH6" s="41" t="s">
        <v>230</v>
      </c>
      <c r="AI6" s="11" t="s">
        <v>174</v>
      </c>
      <c r="AJ6" s="11" t="s">
        <v>517</v>
      </c>
      <c r="AK6" s="11" t="s">
        <v>517</v>
      </c>
      <c r="AL6" s="11" t="s">
        <v>517</v>
      </c>
      <c r="AM6" s="11" t="s">
        <v>517</v>
      </c>
      <c r="AN6" s="8"/>
      <c r="AO6" s="8"/>
      <c r="AP6" s="6" t="s">
        <v>517</v>
      </c>
      <c r="AQ6" s="6" t="s">
        <v>517</v>
      </c>
      <c r="AR6" s="6" t="s">
        <v>517</v>
      </c>
      <c r="AS6" s="6" t="s">
        <v>517</v>
      </c>
      <c r="AT6" s="8" t="s">
        <v>517</v>
      </c>
      <c r="AU6" s="8" t="s">
        <v>517</v>
      </c>
      <c r="AV6" s="8" t="s">
        <v>517</v>
      </c>
      <c r="AW6" s="8" t="s">
        <v>517</v>
      </c>
      <c r="AX6" s="8" t="s">
        <v>517</v>
      </c>
      <c r="AY6" s="8" t="s">
        <v>517</v>
      </c>
      <c r="AZ6" s="8">
        <v>22000</v>
      </c>
      <c r="BA6" s="6" t="s">
        <v>517</v>
      </c>
      <c r="BB6" s="8" t="s">
        <v>126</v>
      </c>
      <c r="BC6" s="6" t="s">
        <v>175</v>
      </c>
      <c r="BD6" s="6" t="s">
        <v>231</v>
      </c>
      <c r="BE6" s="8" t="s">
        <v>177</v>
      </c>
      <c r="BF6" s="6" t="s">
        <v>178</v>
      </c>
      <c r="BG6" s="6" t="s">
        <v>232</v>
      </c>
      <c r="BH6" s="8" t="s">
        <v>9</v>
      </c>
      <c r="BI6" s="8" t="s">
        <v>517</v>
      </c>
      <c r="BJ6" s="8" t="s">
        <v>226</v>
      </c>
      <c r="BK6" s="8" t="s">
        <v>233</v>
      </c>
      <c r="BL6" s="8" t="s">
        <v>234</v>
      </c>
      <c r="BM6" s="8" t="s">
        <v>28</v>
      </c>
      <c r="BN6" s="8" t="s">
        <v>235</v>
      </c>
    </row>
    <row r="7" spans="1:66" ht="37.950000000000003" customHeight="1" x14ac:dyDescent="0.3">
      <c r="A7" s="4">
        <v>6</v>
      </c>
      <c r="B7" s="39" t="s">
        <v>30</v>
      </c>
      <c r="C7" s="11" t="s">
        <v>236</v>
      </c>
      <c r="D7" s="11" t="s">
        <v>237</v>
      </c>
      <c r="E7" s="11" t="s">
        <v>238</v>
      </c>
      <c r="F7" s="11" t="s">
        <v>239</v>
      </c>
      <c r="G7" s="11" t="s">
        <v>168</v>
      </c>
      <c r="H7" s="11" t="s">
        <v>169</v>
      </c>
      <c r="I7" s="11" t="s">
        <v>240</v>
      </c>
      <c r="J7" s="11" t="s">
        <v>33</v>
      </c>
      <c r="K7" s="11" t="s">
        <v>17</v>
      </c>
      <c r="L7" s="11" t="s">
        <v>9</v>
      </c>
      <c r="M7" s="11" t="s">
        <v>239</v>
      </c>
      <c r="N7" s="11" t="s">
        <v>241</v>
      </c>
      <c r="O7" s="42" t="s">
        <v>242</v>
      </c>
      <c r="P7" s="40">
        <v>15000000</v>
      </c>
      <c r="Q7" s="11" t="s">
        <v>9</v>
      </c>
      <c r="R7" s="11">
        <v>1.175</v>
      </c>
      <c r="S7" s="11">
        <v>1.19</v>
      </c>
      <c r="T7" s="11" t="s">
        <v>517</v>
      </c>
      <c r="U7" s="11" t="s">
        <v>517</v>
      </c>
      <c r="V7" s="11" t="s">
        <v>517</v>
      </c>
      <c r="W7" s="42" t="s">
        <v>243</v>
      </c>
      <c r="X7" s="11" t="s">
        <v>517</v>
      </c>
      <c r="Y7" s="11" t="s">
        <v>517</v>
      </c>
      <c r="Z7" s="11" t="s">
        <v>517</v>
      </c>
      <c r="AA7" s="11" t="s">
        <v>517</v>
      </c>
      <c r="AB7" s="11" t="s">
        <v>517</v>
      </c>
      <c r="AC7" s="11" t="s">
        <v>239</v>
      </c>
      <c r="AD7" s="11" t="s">
        <v>244</v>
      </c>
      <c r="AE7" s="11" t="s">
        <v>517</v>
      </c>
      <c r="AF7" s="11" t="s">
        <v>517</v>
      </c>
      <c r="AG7" s="41" t="s">
        <v>517</v>
      </c>
      <c r="AH7" s="41" t="s">
        <v>517</v>
      </c>
      <c r="AI7" s="11" t="s">
        <v>517</v>
      </c>
      <c r="AJ7" s="11" t="s">
        <v>517</v>
      </c>
      <c r="AK7" s="11" t="s">
        <v>517</v>
      </c>
      <c r="AL7" s="11" t="s">
        <v>517</v>
      </c>
      <c r="AM7" s="11" t="s">
        <v>517</v>
      </c>
      <c r="AN7" s="8"/>
      <c r="AO7" s="8"/>
      <c r="AP7" s="6" t="s">
        <v>517</v>
      </c>
      <c r="AQ7" s="6" t="s">
        <v>517</v>
      </c>
      <c r="AR7" s="6" t="s">
        <v>517</v>
      </c>
      <c r="AS7" s="6" t="s">
        <v>517</v>
      </c>
      <c r="AT7" s="8" t="s">
        <v>517</v>
      </c>
      <c r="AU7" s="8" t="s">
        <v>517</v>
      </c>
      <c r="AV7" s="8" t="s">
        <v>517</v>
      </c>
      <c r="AW7" s="8" t="s">
        <v>517</v>
      </c>
      <c r="AX7" s="8" t="s">
        <v>517</v>
      </c>
      <c r="AY7" s="8" t="s">
        <v>517</v>
      </c>
      <c r="AZ7" s="8" t="s">
        <v>517</v>
      </c>
      <c r="BA7" s="6" t="s">
        <v>517</v>
      </c>
      <c r="BB7" s="8" t="s">
        <v>123</v>
      </c>
      <c r="BC7" s="6" t="s">
        <v>245</v>
      </c>
      <c r="BD7" s="6" t="s">
        <v>246</v>
      </c>
      <c r="BE7" s="8" t="s">
        <v>247</v>
      </c>
      <c r="BF7" s="6" t="s">
        <v>248</v>
      </c>
      <c r="BG7" s="6" t="s">
        <v>517</v>
      </c>
      <c r="BH7" s="8" t="s">
        <v>9</v>
      </c>
      <c r="BI7" s="8" t="s">
        <v>191</v>
      </c>
      <c r="BJ7" s="8" t="s">
        <v>169</v>
      </c>
      <c r="BK7" s="8" t="s">
        <v>180</v>
      </c>
      <c r="BL7" s="8" t="s">
        <v>249</v>
      </c>
      <c r="BM7" s="8" t="s">
        <v>33</v>
      </c>
      <c r="BN7" s="8" t="s">
        <v>182</v>
      </c>
    </row>
    <row r="8" spans="1:66" ht="37.950000000000003" customHeight="1" x14ac:dyDescent="0.3">
      <c r="A8" s="4">
        <v>7</v>
      </c>
      <c r="B8" s="39" t="s">
        <v>250</v>
      </c>
      <c r="C8" s="11" t="s">
        <v>251</v>
      </c>
      <c r="D8" s="11" t="s">
        <v>252</v>
      </c>
      <c r="E8" s="11" t="s">
        <v>253</v>
      </c>
      <c r="F8" s="11" t="s">
        <v>239</v>
      </c>
      <c r="G8" s="11" t="s">
        <v>168</v>
      </c>
      <c r="H8" s="11" t="s">
        <v>197</v>
      </c>
      <c r="I8" s="11" t="s">
        <v>254</v>
      </c>
      <c r="J8" s="11" t="s">
        <v>37</v>
      </c>
      <c r="K8" s="11" t="s">
        <v>17</v>
      </c>
      <c r="L8" s="11" t="s">
        <v>9</v>
      </c>
      <c r="M8" s="11" t="s">
        <v>239</v>
      </c>
      <c r="N8" s="11" t="s">
        <v>255</v>
      </c>
      <c r="O8" s="11" t="s">
        <v>517</v>
      </c>
      <c r="P8" s="40">
        <v>10000000</v>
      </c>
      <c r="Q8" s="11" t="s">
        <v>9</v>
      </c>
      <c r="R8" s="11">
        <v>1.175</v>
      </c>
      <c r="S8" s="11" t="s">
        <v>517</v>
      </c>
      <c r="T8" s="11">
        <v>1.18</v>
      </c>
      <c r="U8" s="11" t="s">
        <v>517</v>
      </c>
      <c r="V8" s="11" t="s">
        <v>517</v>
      </c>
      <c r="W8" s="11" t="s">
        <v>517</v>
      </c>
      <c r="X8" s="11" t="s">
        <v>517</v>
      </c>
      <c r="Y8" s="11" t="s">
        <v>517</v>
      </c>
      <c r="Z8" s="11" t="s">
        <v>517</v>
      </c>
      <c r="AA8" s="11" t="s">
        <v>517</v>
      </c>
      <c r="AB8" s="11" t="s">
        <v>517</v>
      </c>
      <c r="AC8" s="11" t="s">
        <v>239</v>
      </c>
      <c r="AD8" s="11" t="s">
        <v>244</v>
      </c>
      <c r="AE8" s="11" t="s">
        <v>203</v>
      </c>
      <c r="AF8" s="11" t="s">
        <v>517</v>
      </c>
      <c r="AG8" s="41" t="s">
        <v>517</v>
      </c>
      <c r="AH8" s="41" t="s">
        <v>517</v>
      </c>
      <c r="AI8" s="11" t="s">
        <v>517</v>
      </c>
      <c r="AJ8" s="11" t="s">
        <v>517</v>
      </c>
      <c r="AK8" s="11" t="s">
        <v>517</v>
      </c>
      <c r="AL8" s="11" t="s">
        <v>517</v>
      </c>
      <c r="AM8" s="11" t="s">
        <v>517</v>
      </c>
      <c r="AN8" s="8"/>
      <c r="AO8" s="8"/>
      <c r="AP8" s="6" t="s">
        <v>517</v>
      </c>
      <c r="AQ8" s="6" t="s">
        <v>517</v>
      </c>
      <c r="AR8" s="6" t="s">
        <v>517</v>
      </c>
      <c r="AS8" s="6" t="s">
        <v>517</v>
      </c>
      <c r="AT8" s="8" t="s">
        <v>517</v>
      </c>
      <c r="AU8" s="8" t="s">
        <v>256</v>
      </c>
      <c r="AV8" s="8" t="s">
        <v>257</v>
      </c>
      <c r="AW8" s="10" t="s">
        <v>190</v>
      </c>
      <c r="AX8" s="8">
        <v>1.18</v>
      </c>
      <c r="AY8" s="8" t="s">
        <v>197</v>
      </c>
      <c r="AZ8" s="8">
        <v>1.175</v>
      </c>
      <c r="BA8" s="9" t="s">
        <v>258</v>
      </c>
      <c r="BB8" s="8" t="s">
        <v>123</v>
      </c>
      <c r="BC8" s="6" t="s">
        <v>245</v>
      </c>
      <c r="BD8" s="6" t="s">
        <v>259</v>
      </c>
      <c r="BE8" s="8" t="s">
        <v>247</v>
      </c>
      <c r="BF8" s="6" t="s">
        <v>248</v>
      </c>
      <c r="BG8" s="6" t="s">
        <v>517</v>
      </c>
      <c r="BH8" s="8" t="s">
        <v>9</v>
      </c>
      <c r="BI8" s="8" t="s">
        <v>203</v>
      </c>
      <c r="BJ8" s="8" t="s">
        <v>197</v>
      </c>
      <c r="BK8" s="8" t="s">
        <v>180</v>
      </c>
      <c r="BL8" s="8" t="s">
        <v>260</v>
      </c>
      <c r="BM8" s="8" t="s">
        <v>37</v>
      </c>
      <c r="BN8" s="8" t="s">
        <v>182</v>
      </c>
    </row>
    <row r="9" spans="1:66" ht="37.950000000000003" customHeight="1" x14ac:dyDescent="0.3">
      <c r="A9" s="4">
        <v>8</v>
      </c>
      <c r="B9" s="39" t="s">
        <v>38</v>
      </c>
      <c r="C9" s="11" t="s">
        <v>261</v>
      </c>
      <c r="D9" s="11" t="s">
        <v>262</v>
      </c>
      <c r="E9" s="11" t="s">
        <v>263</v>
      </c>
      <c r="F9" s="11" t="s">
        <v>264</v>
      </c>
      <c r="G9" s="11" t="s">
        <v>168</v>
      </c>
      <c r="H9" s="11" t="s">
        <v>169</v>
      </c>
      <c r="I9" s="11" t="s">
        <v>254</v>
      </c>
      <c r="J9" s="11" t="s">
        <v>41</v>
      </c>
      <c r="K9" s="11" t="s">
        <v>265</v>
      </c>
      <c r="L9" s="11" t="s">
        <v>9</v>
      </c>
      <c r="M9" s="11" t="s">
        <v>264</v>
      </c>
      <c r="N9" s="11" t="s">
        <v>517</v>
      </c>
      <c r="O9" s="11" t="s">
        <v>266</v>
      </c>
      <c r="P9" s="40">
        <v>8000000</v>
      </c>
      <c r="Q9" s="11" t="s">
        <v>9</v>
      </c>
      <c r="R9" s="11">
        <v>148</v>
      </c>
      <c r="S9" s="11" t="s">
        <v>517</v>
      </c>
      <c r="T9" s="11">
        <v>145</v>
      </c>
      <c r="U9" s="11" t="s">
        <v>517</v>
      </c>
      <c r="V9" s="11" t="s">
        <v>517</v>
      </c>
      <c r="W9" s="11" t="s">
        <v>517</v>
      </c>
      <c r="X9" s="11" t="s">
        <v>517</v>
      </c>
      <c r="Y9" s="11" t="s">
        <v>517</v>
      </c>
      <c r="Z9" s="11" t="s">
        <v>517</v>
      </c>
      <c r="AA9" s="11" t="s">
        <v>517</v>
      </c>
      <c r="AB9" s="11" t="s">
        <v>517</v>
      </c>
      <c r="AC9" s="11" t="s">
        <v>264</v>
      </c>
      <c r="AD9" s="11" t="s">
        <v>244</v>
      </c>
      <c r="AE9" s="11" t="s">
        <v>191</v>
      </c>
      <c r="AF9" s="11" t="s">
        <v>517</v>
      </c>
      <c r="AG9" s="41" t="s">
        <v>517</v>
      </c>
      <c r="AH9" s="41" t="s">
        <v>517</v>
      </c>
      <c r="AI9" s="11" t="s">
        <v>517</v>
      </c>
      <c r="AJ9" s="11" t="s">
        <v>517</v>
      </c>
      <c r="AK9" s="11" t="s">
        <v>517</v>
      </c>
      <c r="AL9" s="11" t="s">
        <v>517</v>
      </c>
      <c r="AM9" s="11" t="s">
        <v>517</v>
      </c>
      <c r="AN9" s="8"/>
      <c r="AO9" s="8"/>
      <c r="AP9" s="6" t="s">
        <v>517</v>
      </c>
      <c r="AQ9" s="6" t="s">
        <v>517</v>
      </c>
      <c r="AR9" s="6" t="s">
        <v>517</v>
      </c>
      <c r="AS9" s="6" t="s">
        <v>517</v>
      </c>
      <c r="AT9" s="8" t="s">
        <v>517</v>
      </c>
      <c r="AU9" s="8" t="s">
        <v>256</v>
      </c>
      <c r="AV9" s="8" t="s">
        <v>267</v>
      </c>
      <c r="AW9" s="10" t="s">
        <v>190</v>
      </c>
      <c r="AX9" s="8">
        <v>145</v>
      </c>
      <c r="AY9" s="8" t="s">
        <v>169</v>
      </c>
      <c r="AZ9" s="8">
        <v>148</v>
      </c>
      <c r="BA9" s="9" t="s">
        <v>268</v>
      </c>
      <c r="BB9" s="8" t="s">
        <v>123</v>
      </c>
      <c r="BC9" s="6" t="s">
        <v>245</v>
      </c>
      <c r="BD9" s="6" t="s">
        <v>269</v>
      </c>
      <c r="BE9" s="8" t="s">
        <v>247</v>
      </c>
      <c r="BF9" s="6" t="s">
        <v>270</v>
      </c>
      <c r="BG9" s="6" t="s">
        <v>517</v>
      </c>
      <c r="BH9" s="8" t="s">
        <v>9</v>
      </c>
      <c r="BI9" s="8" t="s">
        <v>191</v>
      </c>
      <c r="BJ9" s="8" t="s">
        <v>169</v>
      </c>
      <c r="BK9" s="8" t="s">
        <v>180</v>
      </c>
      <c r="BL9" s="8" t="s">
        <v>271</v>
      </c>
      <c r="BM9" s="8" t="s">
        <v>41</v>
      </c>
      <c r="BN9" s="8" t="s">
        <v>182</v>
      </c>
    </row>
    <row r="10" spans="1:66" ht="37.950000000000003" customHeight="1" x14ac:dyDescent="0.3">
      <c r="A10" s="4">
        <v>9</v>
      </c>
      <c r="B10" s="39" t="s">
        <v>272</v>
      </c>
      <c r="C10" s="11" t="s">
        <v>273</v>
      </c>
      <c r="D10" s="11" t="s">
        <v>274</v>
      </c>
      <c r="E10" s="11" t="s">
        <v>275</v>
      </c>
      <c r="F10" s="11" t="s">
        <v>276</v>
      </c>
      <c r="G10" s="11" t="s">
        <v>168</v>
      </c>
      <c r="H10" s="11" t="s">
        <v>277</v>
      </c>
      <c r="I10" s="11" t="s">
        <v>278</v>
      </c>
      <c r="J10" s="11" t="s">
        <v>45</v>
      </c>
      <c r="K10" s="11" t="s">
        <v>17</v>
      </c>
      <c r="L10" s="11" t="s">
        <v>9</v>
      </c>
      <c r="M10" s="11" t="s">
        <v>279</v>
      </c>
      <c r="N10" s="11" t="s">
        <v>517</v>
      </c>
      <c r="O10" s="11" t="s">
        <v>280</v>
      </c>
      <c r="P10" s="11" t="s">
        <v>280</v>
      </c>
      <c r="Q10" s="11" t="s">
        <v>9</v>
      </c>
      <c r="R10" s="11" t="s">
        <v>517</v>
      </c>
      <c r="S10" s="11" t="s">
        <v>517</v>
      </c>
      <c r="T10" s="11" t="s">
        <v>517</v>
      </c>
      <c r="U10" s="11" t="s">
        <v>517</v>
      </c>
      <c r="V10" s="11" t="s">
        <v>281</v>
      </c>
      <c r="W10" s="11" t="s">
        <v>517</v>
      </c>
      <c r="X10" s="11" t="s">
        <v>282</v>
      </c>
      <c r="Y10" s="11" t="s">
        <v>283</v>
      </c>
      <c r="Z10" s="11" t="s">
        <v>284</v>
      </c>
      <c r="AA10" s="11" t="s">
        <v>388</v>
      </c>
      <c r="AB10" s="11" t="s">
        <v>388</v>
      </c>
      <c r="AC10" s="11" t="s">
        <v>239</v>
      </c>
      <c r="AD10" s="11" t="s">
        <v>244</v>
      </c>
      <c r="AE10" s="11" t="s">
        <v>517</v>
      </c>
      <c r="AF10" s="11" t="s">
        <v>517</v>
      </c>
      <c r="AG10" s="41" t="s">
        <v>517</v>
      </c>
      <c r="AH10" s="41" t="s">
        <v>517</v>
      </c>
      <c r="AI10" s="11" t="s">
        <v>517</v>
      </c>
      <c r="AJ10" s="11" t="s">
        <v>517</v>
      </c>
      <c r="AK10" s="11" t="s">
        <v>517</v>
      </c>
      <c r="AL10" s="11" t="s">
        <v>517</v>
      </c>
      <c r="AM10" s="11" t="s">
        <v>517</v>
      </c>
      <c r="AN10" s="8"/>
      <c r="AO10" s="8"/>
      <c r="AP10" s="6" t="s">
        <v>517</v>
      </c>
      <c r="AQ10" s="6" t="s">
        <v>517</v>
      </c>
      <c r="AR10" s="6" t="s">
        <v>517</v>
      </c>
      <c r="AS10" s="6" t="s">
        <v>517</v>
      </c>
      <c r="AT10" s="8" t="s">
        <v>517</v>
      </c>
      <c r="AU10" s="8" t="s">
        <v>517</v>
      </c>
      <c r="AV10" s="8" t="s">
        <v>517</v>
      </c>
      <c r="AW10" s="8" t="s">
        <v>517</v>
      </c>
      <c r="AX10" s="8" t="s">
        <v>517</v>
      </c>
      <c r="AY10" s="8" t="s">
        <v>517</v>
      </c>
      <c r="AZ10" s="8" t="s">
        <v>517</v>
      </c>
      <c r="BA10" s="6" t="s">
        <v>517</v>
      </c>
      <c r="BB10" s="8" t="s">
        <v>117</v>
      </c>
      <c r="BC10" s="6" t="s">
        <v>285</v>
      </c>
      <c r="BD10" s="6" t="s">
        <v>286</v>
      </c>
      <c r="BE10" s="8" t="s">
        <v>287</v>
      </c>
      <c r="BF10" s="6" t="s">
        <v>248</v>
      </c>
      <c r="BG10" s="6" t="s">
        <v>517</v>
      </c>
      <c r="BH10" s="8" t="s">
        <v>279</v>
      </c>
      <c r="BI10" s="8" t="s">
        <v>284</v>
      </c>
      <c r="BJ10" s="8" t="s">
        <v>277</v>
      </c>
      <c r="BK10" s="8" t="s">
        <v>288</v>
      </c>
      <c r="BL10" s="8" t="s">
        <v>289</v>
      </c>
      <c r="BM10" s="8" t="s">
        <v>45</v>
      </c>
      <c r="BN10" s="8" t="s">
        <v>182</v>
      </c>
    </row>
    <row r="11" spans="1:66" ht="37.950000000000003" customHeight="1" x14ac:dyDescent="0.3">
      <c r="A11" s="4">
        <v>10</v>
      </c>
      <c r="B11" s="39" t="s">
        <v>290</v>
      </c>
      <c r="C11" s="11" t="s">
        <v>291</v>
      </c>
      <c r="D11" s="11" t="s">
        <v>292</v>
      </c>
      <c r="E11" s="11" t="s">
        <v>293</v>
      </c>
      <c r="F11" s="11" t="s">
        <v>239</v>
      </c>
      <c r="G11" s="11" t="s">
        <v>168</v>
      </c>
      <c r="H11" s="11" t="s">
        <v>197</v>
      </c>
      <c r="I11" s="11" t="s">
        <v>294</v>
      </c>
      <c r="J11" s="11" t="s">
        <v>49</v>
      </c>
      <c r="K11" s="11" t="s">
        <v>17</v>
      </c>
      <c r="L11" s="11" t="s">
        <v>9</v>
      </c>
      <c r="M11" s="11" t="s">
        <v>239</v>
      </c>
      <c r="N11" s="11" t="s">
        <v>295</v>
      </c>
      <c r="O11" s="11" t="s">
        <v>517</v>
      </c>
      <c r="P11" s="11" t="s">
        <v>295</v>
      </c>
      <c r="Q11" s="11" t="s">
        <v>9</v>
      </c>
      <c r="R11" s="11">
        <v>1.175</v>
      </c>
      <c r="S11" s="42" t="s">
        <v>296</v>
      </c>
      <c r="T11" s="11" t="s">
        <v>517</v>
      </c>
      <c r="U11" s="11" t="s">
        <v>517</v>
      </c>
      <c r="V11" s="11" t="s">
        <v>517</v>
      </c>
      <c r="W11" s="11" t="s">
        <v>297</v>
      </c>
      <c r="X11" s="11" t="s">
        <v>517</v>
      </c>
      <c r="Y11" s="11" t="s">
        <v>517</v>
      </c>
      <c r="Z11" s="11" t="s">
        <v>517</v>
      </c>
      <c r="AA11" s="11" t="s">
        <v>517</v>
      </c>
      <c r="AB11" s="11" t="s">
        <v>517</v>
      </c>
      <c r="AC11" s="11" t="s">
        <v>239</v>
      </c>
      <c r="AD11" s="11" t="s">
        <v>244</v>
      </c>
      <c r="AE11" s="11" t="s">
        <v>517</v>
      </c>
      <c r="AF11" s="11" t="s">
        <v>517</v>
      </c>
      <c r="AG11" s="41" t="s">
        <v>517</v>
      </c>
      <c r="AH11" s="41" t="s">
        <v>517</v>
      </c>
      <c r="AI11" s="11" t="s">
        <v>517</v>
      </c>
      <c r="AJ11" s="11" t="s">
        <v>517</v>
      </c>
      <c r="AK11" s="11" t="s">
        <v>517</v>
      </c>
      <c r="AL11" s="11" t="s">
        <v>517</v>
      </c>
      <c r="AM11" s="11" t="s">
        <v>517</v>
      </c>
      <c r="AN11" s="8"/>
      <c r="AO11" s="8"/>
      <c r="AP11" s="6" t="s">
        <v>517</v>
      </c>
      <c r="AQ11" s="6" t="s">
        <v>517</v>
      </c>
      <c r="AR11" s="6" t="s">
        <v>517</v>
      </c>
      <c r="AS11" s="6" t="s">
        <v>517</v>
      </c>
      <c r="AT11" s="8" t="s">
        <v>517</v>
      </c>
      <c r="AU11" s="8" t="s">
        <v>517</v>
      </c>
      <c r="AV11" s="8" t="s">
        <v>517</v>
      </c>
      <c r="AW11" s="8" t="s">
        <v>517</v>
      </c>
      <c r="AX11" s="8" t="s">
        <v>517</v>
      </c>
      <c r="AY11" s="8" t="s">
        <v>517</v>
      </c>
      <c r="AZ11" s="8" t="s">
        <v>517</v>
      </c>
      <c r="BA11" s="6" t="s">
        <v>517</v>
      </c>
      <c r="BB11" s="8" t="s">
        <v>123</v>
      </c>
      <c r="BC11" s="6" t="s">
        <v>245</v>
      </c>
      <c r="BD11" s="6" t="s">
        <v>246</v>
      </c>
      <c r="BE11" s="8" t="s">
        <v>247</v>
      </c>
      <c r="BF11" s="6" t="s">
        <v>248</v>
      </c>
      <c r="BG11" s="6" t="s">
        <v>517</v>
      </c>
      <c r="BH11" s="8" t="s">
        <v>9</v>
      </c>
      <c r="BI11" s="8" t="s">
        <v>203</v>
      </c>
      <c r="BJ11" s="8" t="s">
        <v>197</v>
      </c>
      <c r="BK11" s="8" t="s">
        <v>180</v>
      </c>
      <c r="BL11" s="8" t="s">
        <v>298</v>
      </c>
      <c r="BM11" s="8" t="s">
        <v>49</v>
      </c>
      <c r="BN11" s="8" t="s">
        <v>182</v>
      </c>
    </row>
    <row r="12" spans="1:66" ht="37.950000000000003" customHeight="1" x14ac:dyDescent="0.3">
      <c r="A12" s="4">
        <v>11</v>
      </c>
      <c r="B12" s="39" t="s">
        <v>299</v>
      </c>
      <c r="C12" s="11" t="s">
        <v>300</v>
      </c>
      <c r="D12" s="11" t="s">
        <v>301</v>
      </c>
      <c r="E12" s="11" t="s">
        <v>166</v>
      </c>
      <c r="F12" s="11" t="s">
        <v>302</v>
      </c>
      <c r="G12" s="11" t="s">
        <v>168</v>
      </c>
      <c r="H12" s="11" t="s">
        <v>169</v>
      </c>
      <c r="I12" s="42" t="s">
        <v>303</v>
      </c>
      <c r="J12" s="11" t="s">
        <v>52</v>
      </c>
      <c r="K12" s="11" t="s">
        <v>517</v>
      </c>
      <c r="L12" s="11" t="s">
        <v>517</v>
      </c>
      <c r="M12" s="11" t="s">
        <v>9</v>
      </c>
      <c r="N12" s="11" t="s">
        <v>304</v>
      </c>
      <c r="O12" s="11" t="s">
        <v>517</v>
      </c>
      <c r="P12" s="11" t="s">
        <v>304</v>
      </c>
      <c r="Q12" s="11" t="s">
        <v>9</v>
      </c>
      <c r="R12" s="11" t="s">
        <v>305</v>
      </c>
      <c r="S12" s="11" t="s">
        <v>306</v>
      </c>
      <c r="T12" s="11" t="s">
        <v>517</v>
      </c>
      <c r="U12" s="11" t="s">
        <v>517</v>
      </c>
      <c r="V12" s="11" t="s">
        <v>517</v>
      </c>
      <c r="W12" s="11" t="s">
        <v>517</v>
      </c>
      <c r="X12" s="11" t="s">
        <v>517</v>
      </c>
      <c r="Y12" s="11" t="s">
        <v>517</v>
      </c>
      <c r="Z12" s="11" t="s">
        <v>517</v>
      </c>
      <c r="AA12" s="11" t="s">
        <v>517</v>
      </c>
      <c r="AB12" s="11" t="s">
        <v>517</v>
      </c>
      <c r="AC12" s="11" t="s">
        <v>517</v>
      </c>
      <c r="AD12" s="11" t="s">
        <v>517</v>
      </c>
      <c r="AE12" s="11" t="s">
        <v>517</v>
      </c>
      <c r="AF12" s="11" t="s">
        <v>517</v>
      </c>
      <c r="AG12" s="41" t="s">
        <v>517</v>
      </c>
      <c r="AH12" s="41" t="s">
        <v>517</v>
      </c>
      <c r="AI12" s="11" t="s">
        <v>517</v>
      </c>
      <c r="AJ12" s="11" t="s">
        <v>307</v>
      </c>
      <c r="AK12" s="11" t="s">
        <v>308</v>
      </c>
      <c r="AL12" s="11" t="s">
        <v>309</v>
      </c>
      <c r="AM12" s="11" t="s">
        <v>191</v>
      </c>
      <c r="AN12" s="8" t="s">
        <v>619</v>
      </c>
      <c r="AO12" s="8">
        <v>153846</v>
      </c>
      <c r="AP12" s="6" t="s">
        <v>517</v>
      </c>
      <c r="AQ12" s="6" t="s">
        <v>517</v>
      </c>
      <c r="AR12" s="6" t="s">
        <v>517</v>
      </c>
      <c r="AS12" s="6" t="s">
        <v>517</v>
      </c>
      <c r="AT12" s="8" t="s">
        <v>517</v>
      </c>
      <c r="AU12" s="8" t="s">
        <v>517</v>
      </c>
      <c r="AV12" s="8" t="s">
        <v>517</v>
      </c>
      <c r="AW12" s="8" t="s">
        <v>517</v>
      </c>
      <c r="AX12" s="8" t="s">
        <v>517</v>
      </c>
      <c r="AY12" s="8" t="s">
        <v>517</v>
      </c>
      <c r="AZ12" s="8" t="s">
        <v>517</v>
      </c>
      <c r="BA12" s="6" t="s">
        <v>517</v>
      </c>
      <c r="BB12" s="8" t="s">
        <v>310</v>
      </c>
      <c r="BC12" s="6" t="s">
        <v>311</v>
      </c>
      <c r="BD12" s="6" t="s">
        <v>312</v>
      </c>
      <c r="BE12" s="8" t="s">
        <v>313</v>
      </c>
      <c r="BF12" s="6" t="s">
        <v>314</v>
      </c>
      <c r="BG12" s="6" t="s">
        <v>315</v>
      </c>
      <c r="BH12" s="8" t="s">
        <v>9</v>
      </c>
      <c r="BI12" s="8" t="s">
        <v>191</v>
      </c>
      <c r="BJ12" s="8" t="s">
        <v>169</v>
      </c>
      <c r="BK12" s="8" t="s">
        <v>180</v>
      </c>
      <c r="BL12" s="8" t="s">
        <v>316</v>
      </c>
      <c r="BM12" s="8" t="s">
        <v>52</v>
      </c>
      <c r="BN12" s="8" t="s">
        <v>182</v>
      </c>
    </row>
    <row r="13" spans="1:66" ht="37.950000000000003" customHeight="1" x14ac:dyDescent="0.3">
      <c r="A13" s="4">
        <v>12</v>
      </c>
      <c r="B13" s="39" t="s">
        <v>317</v>
      </c>
      <c r="C13" s="11" t="s">
        <v>318</v>
      </c>
      <c r="D13" s="11" t="s">
        <v>319</v>
      </c>
      <c r="E13" s="11" t="s">
        <v>166</v>
      </c>
      <c r="F13" s="11" t="s">
        <v>320</v>
      </c>
      <c r="G13" s="11" t="s">
        <v>168</v>
      </c>
      <c r="H13" s="11" t="s">
        <v>321</v>
      </c>
      <c r="I13" s="11" t="s">
        <v>227</v>
      </c>
      <c r="J13" s="11" t="s">
        <v>55</v>
      </c>
      <c r="K13" s="11" t="s">
        <v>517</v>
      </c>
      <c r="L13" s="11" t="s">
        <v>517</v>
      </c>
      <c r="M13" s="11" t="s">
        <v>9</v>
      </c>
      <c r="N13" s="11" t="s">
        <v>304</v>
      </c>
      <c r="O13" s="11" t="s">
        <v>517</v>
      </c>
      <c r="P13" s="11" t="s">
        <v>304</v>
      </c>
      <c r="Q13" s="11" t="s">
        <v>9</v>
      </c>
      <c r="R13" s="11" t="s">
        <v>305</v>
      </c>
      <c r="S13" s="11" t="s">
        <v>322</v>
      </c>
      <c r="T13" s="11" t="s">
        <v>517</v>
      </c>
      <c r="U13" s="11" t="s">
        <v>517</v>
      </c>
      <c r="V13" s="11" t="s">
        <v>517</v>
      </c>
      <c r="W13" s="11" t="s">
        <v>517</v>
      </c>
      <c r="X13" s="11" t="s">
        <v>517</v>
      </c>
      <c r="Y13" s="11" t="s">
        <v>517</v>
      </c>
      <c r="Z13" s="11" t="s">
        <v>517</v>
      </c>
      <c r="AA13" s="11" t="s">
        <v>517</v>
      </c>
      <c r="AB13" s="11" t="s">
        <v>517</v>
      </c>
      <c r="AC13" s="11" t="s">
        <v>517</v>
      </c>
      <c r="AD13" s="11" t="s">
        <v>517</v>
      </c>
      <c r="AE13" s="11" t="s">
        <v>517</v>
      </c>
      <c r="AF13" s="11" t="s">
        <v>517</v>
      </c>
      <c r="AG13" s="41" t="s">
        <v>517</v>
      </c>
      <c r="AH13" s="41" t="s">
        <v>517</v>
      </c>
      <c r="AI13" s="11" t="s">
        <v>517</v>
      </c>
      <c r="AJ13" s="11" t="s">
        <v>323</v>
      </c>
      <c r="AK13" s="11" t="s">
        <v>324</v>
      </c>
      <c r="AL13" s="11" t="s">
        <v>309</v>
      </c>
      <c r="AM13" s="11" t="s">
        <v>325</v>
      </c>
      <c r="AN13" s="8" t="s">
        <v>619</v>
      </c>
      <c r="AO13" s="8">
        <v>166667</v>
      </c>
      <c r="AP13" s="6" t="s">
        <v>517</v>
      </c>
      <c r="AQ13" s="6" t="s">
        <v>517</v>
      </c>
      <c r="AR13" s="6" t="s">
        <v>517</v>
      </c>
      <c r="AS13" s="6" t="s">
        <v>517</v>
      </c>
      <c r="AT13" s="8" t="s">
        <v>517</v>
      </c>
      <c r="AU13" s="8" t="s">
        <v>517</v>
      </c>
      <c r="AV13" s="8" t="s">
        <v>517</v>
      </c>
      <c r="AW13" s="8" t="s">
        <v>517</v>
      </c>
      <c r="AX13" s="8" t="s">
        <v>517</v>
      </c>
      <c r="AY13" s="8" t="s">
        <v>517</v>
      </c>
      <c r="AZ13" s="8" t="s">
        <v>517</v>
      </c>
      <c r="BA13" s="6" t="s">
        <v>517</v>
      </c>
      <c r="BB13" s="8" t="s">
        <v>310</v>
      </c>
      <c r="BC13" s="6" t="s">
        <v>311</v>
      </c>
      <c r="BD13" s="6" t="s">
        <v>326</v>
      </c>
      <c r="BE13" s="8" t="s">
        <v>313</v>
      </c>
      <c r="BF13" s="6" t="s">
        <v>178</v>
      </c>
      <c r="BG13" s="6" t="s">
        <v>315</v>
      </c>
      <c r="BH13" s="8" t="s">
        <v>9</v>
      </c>
      <c r="BI13" s="8" t="s">
        <v>517</v>
      </c>
      <c r="BJ13" s="8" t="s">
        <v>321</v>
      </c>
      <c r="BK13" s="8" t="s">
        <v>233</v>
      </c>
      <c r="BL13" s="8" t="s">
        <v>327</v>
      </c>
      <c r="BM13" s="8" t="s">
        <v>55</v>
      </c>
      <c r="BN13" s="8" t="s">
        <v>235</v>
      </c>
    </row>
    <row r="14" spans="1:66" ht="37.950000000000003" customHeight="1" x14ac:dyDescent="0.3">
      <c r="A14" s="4">
        <v>13</v>
      </c>
      <c r="B14" s="39" t="s">
        <v>328</v>
      </c>
      <c r="C14" s="11" t="s">
        <v>329</v>
      </c>
      <c r="D14" s="11" t="s">
        <v>330</v>
      </c>
      <c r="E14" s="11" t="s">
        <v>166</v>
      </c>
      <c r="F14" s="11" t="s">
        <v>331</v>
      </c>
      <c r="G14" s="11" t="s">
        <v>168</v>
      </c>
      <c r="H14" s="11" t="s">
        <v>197</v>
      </c>
      <c r="I14" s="42" t="s">
        <v>332</v>
      </c>
      <c r="J14" s="11" t="s">
        <v>59</v>
      </c>
      <c r="K14" s="11" t="s">
        <v>517</v>
      </c>
      <c r="L14" s="11" t="s">
        <v>517</v>
      </c>
      <c r="M14" s="11" t="s">
        <v>9</v>
      </c>
      <c r="N14" s="11" t="s">
        <v>333</v>
      </c>
      <c r="O14" s="11" t="s">
        <v>517</v>
      </c>
      <c r="P14" s="11" t="s">
        <v>333</v>
      </c>
      <c r="Q14" s="11" t="s">
        <v>9</v>
      </c>
      <c r="R14" s="11" t="s">
        <v>334</v>
      </c>
      <c r="S14" s="11" t="s">
        <v>517</v>
      </c>
      <c r="T14" s="11" t="s">
        <v>335</v>
      </c>
      <c r="U14" s="11" t="s">
        <v>517</v>
      </c>
      <c r="V14" s="11" t="s">
        <v>517</v>
      </c>
      <c r="W14" s="11" t="s">
        <v>517</v>
      </c>
      <c r="X14" s="11" t="s">
        <v>517</v>
      </c>
      <c r="Y14" s="11" t="s">
        <v>517</v>
      </c>
      <c r="Z14" s="11" t="s">
        <v>517</v>
      </c>
      <c r="AA14" s="11" t="s">
        <v>517</v>
      </c>
      <c r="AB14" s="11" t="s">
        <v>517</v>
      </c>
      <c r="AC14" s="11" t="s">
        <v>517</v>
      </c>
      <c r="AD14" s="11" t="s">
        <v>517</v>
      </c>
      <c r="AE14" s="11" t="s">
        <v>517</v>
      </c>
      <c r="AF14" s="11" t="s">
        <v>517</v>
      </c>
      <c r="AG14" s="41" t="s">
        <v>517</v>
      </c>
      <c r="AH14" s="41" t="s">
        <v>517</v>
      </c>
      <c r="AI14" s="11" t="s">
        <v>517</v>
      </c>
      <c r="AJ14" s="11" t="s">
        <v>336</v>
      </c>
      <c r="AK14" s="11" t="s">
        <v>337</v>
      </c>
      <c r="AL14" s="11" t="s">
        <v>338</v>
      </c>
      <c r="AM14" s="11" t="s">
        <v>203</v>
      </c>
      <c r="AN14" s="8" t="s">
        <v>620</v>
      </c>
      <c r="AO14" s="8">
        <v>2000</v>
      </c>
      <c r="AP14" s="6" t="s">
        <v>517</v>
      </c>
      <c r="AQ14" s="6" t="s">
        <v>517</v>
      </c>
      <c r="AR14" s="6" t="s">
        <v>517</v>
      </c>
      <c r="AS14" s="6" t="s">
        <v>517</v>
      </c>
      <c r="AT14" s="8" t="s">
        <v>517</v>
      </c>
      <c r="AU14" s="8" t="s">
        <v>339</v>
      </c>
      <c r="AV14" s="8" t="s">
        <v>189</v>
      </c>
      <c r="AW14" s="10" t="s">
        <v>190</v>
      </c>
      <c r="AX14" s="8" t="s">
        <v>335</v>
      </c>
      <c r="AY14" s="8" t="s">
        <v>197</v>
      </c>
      <c r="AZ14" s="8" t="s">
        <v>334</v>
      </c>
      <c r="BA14" s="9" t="s">
        <v>340</v>
      </c>
      <c r="BB14" s="8" t="s">
        <v>310</v>
      </c>
      <c r="BC14" s="6" t="s">
        <v>341</v>
      </c>
      <c r="BD14" s="6" t="s">
        <v>342</v>
      </c>
      <c r="BE14" s="8" t="s">
        <v>343</v>
      </c>
      <c r="BF14" s="6" t="s">
        <v>344</v>
      </c>
      <c r="BG14" s="6" t="s">
        <v>345</v>
      </c>
      <c r="BH14" s="8" t="s">
        <v>9</v>
      </c>
      <c r="BI14" s="8" t="s">
        <v>203</v>
      </c>
      <c r="BJ14" s="8" t="s">
        <v>197</v>
      </c>
      <c r="BK14" s="8" t="s">
        <v>180</v>
      </c>
      <c r="BL14" s="8" t="s">
        <v>346</v>
      </c>
      <c r="BM14" s="8" t="s">
        <v>59</v>
      </c>
      <c r="BN14" s="8" t="s">
        <v>182</v>
      </c>
    </row>
    <row r="15" spans="1:66" ht="37.950000000000003" customHeight="1" x14ac:dyDescent="0.3">
      <c r="A15" s="4">
        <v>14</v>
      </c>
      <c r="B15" s="39" t="s">
        <v>347</v>
      </c>
      <c r="C15" s="11" t="s">
        <v>348</v>
      </c>
      <c r="D15" s="11" t="s">
        <v>349</v>
      </c>
      <c r="E15" s="11" t="s">
        <v>166</v>
      </c>
      <c r="F15" s="11" t="s">
        <v>350</v>
      </c>
      <c r="G15" s="11" t="s">
        <v>168</v>
      </c>
      <c r="H15" s="11" t="s">
        <v>169</v>
      </c>
      <c r="I15" s="42" t="s">
        <v>332</v>
      </c>
      <c r="J15" s="11" t="s">
        <v>63</v>
      </c>
      <c r="K15" s="11" t="s">
        <v>517</v>
      </c>
      <c r="L15" s="11" t="s">
        <v>517</v>
      </c>
      <c r="M15" s="11" t="s">
        <v>9</v>
      </c>
      <c r="N15" s="11" t="s">
        <v>351</v>
      </c>
      <c r="O15" s="11" t="s">
        <v>517</v>
      </c>
      <c r="P15" s="11" t="s">
        <v>351</v>
      </c>
      <c r="Q15" s="11" t="s">
        <v>9</v>
      </c>
      <c r="R15" s="11" t="s">
        <v>352</v>
      </c>
      <c r="S15" s="11" t="s">
        <v>517</v>
      </c>
      <c r="T15" s="11" t="s">
        <v>353</v>
      </c>
      <c r="U15" s="11" t="s">
        <v>517</v>
      </c>
      <c r="V15" s="11" t="s">
        <v>517</v>
      </c>
      <c r="W15" s="11" t="s">
        <v>517</v>
      </c>
      <c r="X15" s="11" t="s">
        <v>517</v>
      </c>
      <c r="Y15" s="11" t="s">
        <v>517</v>
      </c>
      <c r="Z15" s="11" t="s">
        <v>517</v>
      </c>
      <c r="AA15" s="11" t="s">
        <v>517</v>
      </c>
      <c r="AB15" s="11" t="s">
        <v>517</v>
      </c>
      <c r="AC15" s="11" t="s">
        <v>517</v>
      </c>
      <c r="AD15" s="11" t="s">
        <v>517</v>
      </c>
      <c r="AE15" s="11" t="s">
        <v>517</v>
      </c>
      <c r="AF15" s="11" t="s">
        <v>517</v>
      </c>
      <c r="AG15" s="41" t="s">
        <v>517</v>
      </c>
      <c r="AH15" s="41" t="s">
        <v>517</v>
      </c>
      <c r="AI15" s="11" t="s">
        <v>517</v>
      </c>
      <c r="AJ15" s="11" t="s">
        <v>354</v>
      </c>
      <c r="AK15" s="11" t="s">
        <v>355</v>
      </c>
      <c r="AL15" s="11" t="s">
        <v>356</v>
      </c>
      <c r="AM15" s="11" t="s">
        <v>191</v>
      </c>
      <c r="AN15" s="8" t="s">
        <v>621</v>
      </c>
      <c r="AO15" s="8">
        <v>1200000</v>
      </c>
      <c r="AP15" s="6" t="s">
        <v>517</v>
      </c>
      <c r="AQ15" s="6" t="s">
        <v>517</v>
      </c>
      <c r="AR15" s="6" t="s">
        <v>517</v>
      </c>
      <c r="AS15" s="6" t="s">
        <v>517</v>
      </c>
      <c r="AT15" s="8" t="s">
        <v>517</v>
      </c>
      <c r="AU15" s="8" t="s">
        <v>339</v>
      </c>
      <c r="AV15" s="8" t="s">
        <v>201</v>
      </c>
      <c r="AW15" s="10" t="s">
        <v>190</v>
      </c>
      <c r="AX15" s="8" t="s">
        <v>353</v>
      </c>
      <c r="AY15" s="8" t="s">
        <v>169</v>
      </c>
      <c r="AZ15" s="10" t="s">
        <v>357</v>
      </c>
      <c r="BA15" s="9" t="s">
        <v>358</v>
      </c>
      <c r="BB15" s="8" t="s">
        <v>310</v>
      </c>
      <c r="BC15" s="6" t="s">
        <v>359</v>
      </c>
      <c r="BD15" s="6" t="s">
        <v>360</v>
      </c>
      <c r="BE15" s="8" t="s">
        <v>361</v>
      </c>
      <c r="BF15" s="6" t="s">
        <v>344</v>
      </c>
      <c r="BG15" s="6" t="s">
        <v>345</v>
      </c>
      <c r="BH15" s="8" t="s">
        <v>9</v>
      </c>
      <c r="BI15" s="8" t="s">
        <v>191</v>
      </c>
      <c r="BJ15" s="8" t="s">
        <v>169</v>
      </c>
      <c r="BK15" s="8" t="s">
        <v>180</v>
      </c>
      <c r="BL15" s="8" t="s">
        <v>362</v>
      </c>
      <c r="BM15" s="8" t="s">
        <v>63</v>
      </c>
      <c r="BN15" s="8" t="s">
        <v>182</v>
      </c>
    </row>
    <row r="16" spans="1:66" ht="37.950000000000003" customHeight="1" x14ac:dyDescent="0.3">
      <c r="A16" s="4">
        <v>15</v>
      </c>
      <c r="B16" s="39" t="s">
        <v>363</v>
      </c>
      <c r="C16" s="11" t="s">
        <v>364</v>
      </c>
      <c r="D16" s="11" t="s">
        <v>365</v>
      </c>
      <c r="E16" s="11" t="s">
        <v>366</v>
      </c>
      <c r="F16" s="11" t="s">
        <v>367</v>
      </c>
      <c r="G16" s="11" t="s">
        <v>168</v>
      </c>
      <c r="H16" s="11" t="s">
        <v>368</v>
      </c>
      <c r="I16" s="11" t="s">
        <v>369</v>
      </c>
      <c r="J16" s="11" t="s">
        <v>67</v>
      </c>
      <c r="K16" s="11" t="s">
        <v>517</v>
      </c>
      <c r="L16" s="11" t="s">
        <v>517</v>
      </c>
      <c r="M16" s="11" t="s">
        <v>9</v>
      </c>
      <c r="N16" s="11" t="s">
        <v>370</v>
      </c>
      <c r="O16" s="11" t="s">
        <v>517</v>
      </c>
      <c r="P16" s="11" t="s">
        <v>370</v>
      </c>
      <c r="Q16" s="11" t="s">
        <v>9</v>
      </c>
      <c r="R16" s="11" t="s">
        <v>371</v>
      </c>
      <c r="S16" s="11" t="s">
        <v>517</v>
      </c>
      <c r="T16" s="11" t="s">
        <v>517</v>
      </c>
      <c r="U16" s="11" t="s">
        <v>372</v>
      </c>
      <c r="V16" s="11" t="s">
        <v>373</v>
      </c>
      <c r="W16" s="11" t="s">
        <v>517</v>
      </c>
      <c r="X16" s="11" t="s">
        <v>517</v>
      </c>
      <c r="Y16" s="11" t="s">
        <v>517</v>
      </c>
      <c r="Z16" s="11" t="s">
        <v>517</v>
      </c>
      <c r="AA16" s="42" t="s">
        <v>374</v>
      </c>
      <c r="AB16" s="42" t="s">
        <v>374</v>
      </c>
      <c r="AC16" s="11" t="s">
        <v>517</v>
      </c>
      <c r="AD16" s="11" t="s">
        <v>517</v>
      </c>
      <c r="AE16" s="11" t="s">
        <v>517</v>
      </c>
      <c r="AF16" s="11" t="s">
        <v>517</v>
      </c>
      <c r="AG16" s="41" t="s">
        <v>517</v>
      </c>
      <c r="AH16" s="41" t="s">
        <v>517</v>
      </c>
      <c r="AI16" s="11" t="s">
        <v>517</v>
      </c>
      <c r="AJ16" s="11" t="s">
        <v>375</v>
      </c>
      <c r="AK16" s="11" t="s">
        <v>376</v>
      </c>
      <c r="AL16" s="11" t="s">
        <v>309</v>
      </c>
      <c r="AM16" s="11" t="s">
        <v>377</v>
      </c>
      <c r="AN16" s="8" t="s">
        <v>619</v>
      </c>
      <c r="AO16" s="8">
        <v>243243</v>
      </c>
      <c r="AP16" s="6" t="s">
        <v>517</v>
      </c>
      <c r="AQ16" s="6" t="s">
        <v>517</v>
      </c>
      <c r="AR16" s="6" t="s">
        <v>517</v>
      </c>
      <c r="AS16" s="6" t="s">
        <v>517</v>
      </c>
      <c r="AT16" s="8" t="s">
        <v>517</v>
      </c>
      <c r="AU16" s="8" t="s">
        <v>517</v>
      </c>
      <c r="AV16" s="8" t="s">
        <v>517</v>
      </c>
      <c r="AW16" s="8" t="s">
        <v>517</v>
      </c>
      <c r="AX16" s="8" t="s">
        <v>517</v>
      </c>
      <c r="AY16" s="8" t="s">
        <v>517</v>
      </c>
      <c r="AZ16" s="8" t="s">
        <v>517</v>
      </c>
      <c r="BA16" s="6" t="s">
        <v>517</v>
      </c>
      <c r="BB16" s="8" t="s">
        <v>310</v>
      </c>
      <c r="BC16" s="6" t="s">
        <v>311</v>
      </c>
      <c r="BD16" s="6" t="s">
        <v>378</v>
      </c>
      <c r="BE16" s="8" t="s">
        <v>313</v>
      </c>
      <c r="BF16" s="6" t="s">
        <v>344</v>
      </c>
      <c r="BG16" s="6" t="s">
        <v>315</v>
      </c>
      <c r="BH16" s="8" t="s">
        <v>9</v>
      </c>
      <c r="BI16" s="8" t="s">
        <v>377</v>
      </c>
      <c r="BJ16" s="8" t="s">
        <v>368</v>
      </c>
      <c r="BK16" s="8" t="s">
        <v>180</v>
      </c>
      <c r="BL16" s="8" t="s">
        <v>379</v>
      </c>
      <c r="BM16" s="8" t="s">
        <v>67</v>
      </c>
      <c r="BN16" s="8" t="s">
        <v>182</v>
      </c>
    </row>
    <row r="17" spans="1:66" ht="37.950000000000003" customHeight="1" x14ac:dyDescent="0.3">
      <c r="A17" s="4">
        <v>16</v>
      </c>
      <c r="B17" s="39" t="s">
        <v>380</v>
      </c>
      <c r="C17" s="11" t="s">
        <v>381</v>
      </c>
      <c r="D17" s="11" t="s">
        <v>382</v>
      </c>
      <c r="E17" s="11" t="s">
        <v>366</v>
      </c>
      <c r="F17" s="11" t="s">
        <v>383</v>
      </c>
      <c r="G17" s="11" t="s">
        <v>168</v>
      </c>
      <c r="H17" s="11" t="s">
        <v>277</v>
      </c>
      <c r="I17" s="11" t="s">
        <v>384</v>
      </c>
      <c r="J17" s="11" t="s">
        <v>71</v>
      </c>
      <c r="K17" s="11" t="s">
        <v>517</v>
      </c>
      <c r="L17" s="11" t="s">
        <v>517</v>
      </c>
      <c r="M17" s="11" t="s">
        <v>9</v>
      </c>
      <c r="N17" s="11" t="s">
        <v>385</v>
      </c>
      <c r="O17" s="11" t="s">
        <v>517</v>
      </c>
      <c r="P17" s="11" t="s">
        <v>385</v>
      </c>
      <c r="Q17" s="11" t="s">
        <v>9</v>
      </c>
      <c r="R17" s="11" t="s">
        <v>517</v>
      </c>
      <c r="S17" s="11" t="s">
        <v>517</v>
      </c>
      <c r="T17" s="11" t="s">
        <v>517</v>
      </c>
      <c r="U17" s="43">
        <v>4.2000000000000003E-2</v>
      </c>
      <c r="V17" s="11" t="s">
        <v>386</v>
      </c>
      <c r="W17" s="11" t="s">
        <v>517</v>
      </c>
      <c r="X17" s="11" t="s">
        <v>213</v>
      </c>
      <c r="Y17" s="11" t="s">
        <v>387</v>
      </c>
      <c r="Z17" s="11" t="s">
        <v>284</v>
      </c>
      <c r="AA17" s="11" t="s">
        <v>388</v>
      </c>
      <c r="AB17" s="11" t="s">
        <v>388</v>
      </c>
      <c r="AC17" s="11" t="s">
        <v>517</v>
      </c>
      <c r="AD17" s="11" t="s">
        <v>517</v>
      </c>
      <c r="AE17" s="11" t="s">
        <v>517</v>
      </c>
      <c r="AF17" s="11" t="s">
        <v>517</v>
      </c>
      <c r="AG17" s="41" t="s">
        <v>517</v>
      </c>
      <c r="AH17" s="41" t="s">
        <v>517</v>
      </c>
      <c r="AI17" s="11" t="s">
        <v>517</v>
      </c>
      <c r="AJ17" s="11" t="s">
        <v>517</v>
      </c>
      <c r="AK17" s="11" t="s">
        <v>517</v>
      </c>
      <c r="AL17" s="11" t="s">
        <v>517</v>
      </c>
      <c r="AM17" s="11" t="s">
        <v>517</v>
      </c>
      <c r="AN17" s="8"/>
      <c r="AO17" s="8"/>
      <c r="AP17" s="6" t="s">
        <v>517</v>
      </c>
      <c r="AQ17" s="6" t="s">
        <v>517</v>
      </c>
      <c r="AR17" s="6" t="s">
        <v>517</v>
      </c>
      <c r="AS17" s="6" t="s">
        <v>517</v>
      </c>
      <c r="AT17" s="8" t="s">
        <v>517</v>
      </c>
      <c r="AU17" s="8" t="s">
        <v>517</v>
      </c>
      <c r="AV17" s="8" t="s">
        <v>517</v>
      </c>
      <c r="AW17" s="8" t="s">
        <v>517</v>
      </c>
      <c r="AX17" s="8" t="s">
        <v>517</v>
      </c>
      <c r="AY17" s="8" t="s">
        <v>517</v>
      </c>
      <c r="AZ17" s="8" t="s">
        <v>517</v>
      </c>
      <c r="BA17" s="6" t="s">
        <v>517</v>
      </c>
      <c r="BB17" s="8" t="s">
        <v>117</v>
      </c>
      <c r="BC17" s="6" t="s">
        <v>9</v>
      </c>
      <c r="BD17" s="6" t="s">
        <v>389</v>
      </c>
      <c r="BE17" s="8" t="s">
        <v>390</v>
      </c>
      <c r="BF17" s="6" t="s">
        <v>178</v>
      </c>
      <c r="BG17" s="6" t="s">
        <v>517</v>
      </c>
      <c r="BH17" s="8" t="s">
        <v>9</v>
      </c>
      <c r="BI17" s="8" t="s">
        <v>284</v>
      </c>
      <c r="BJ17" s="8" t="s">
        <v>277</v>
      </c>
      <c r="BK17" s="8" t="s">
        <v>391</v>
      </c>
      <c r="BL17" s="8" t="s">
        <v>392</v>
      </c>
      <c r="BM17" s="8" t="s">
        <v>71</v>
      </c>
      <c r="BN17" s="8" t="s">
        <v>393</v>
      </c>
    </row>
    <row r="18" spans="1:66" ht="37.950000000000003" customHeight="1" x14ac:dyDescent="0.3">
      <c r="A18" s="4">
        <v>17</v>
      </c>
      <c r="B18" s="39" t="s">
        <v>394</v>
      </c>
      <c r="C18" s="11" t="s">
        <v>395</v>
      </c>
      <c r="D18" s="11" t="s">
        <v>396</v>
      </c>
      <c r="E18" s="11" t="s">
        <v>397</v>
      </c>
      <c r="F18" s="11" t="s">
        <v>801</v>
      </c>
      <c r="G18" s="11" t="s">
        <v>168</v>
      </c>
      <c r="H18" s="11" t="s">
        <v>209</v>
      </c>
      <c r="I18" s="11" t="s">
        <v>384</v>
      </c>
      <c r="J18" s="11" t="s">
        <v>75</v>
      </c>
      <c r="K18" s="11" t="s">
        <v>517</v>
      </c>
      <c r="L18" s="11" t="s">
        <v>517</v>
      </c>
      <c r="M18" s="11" t="s">
        <v>9</v>
      </c>
      <c r="N18" s="11" t="s">
        <v>398</v>
      </c>
      <c r="O18" s="11" t="s">
        <v>517</v>
      </c>
      <c r="P18" s="11" t="s">
        <v>398</v>
      </c>
      <c r="Q18" s="11" t="s">
        <v>9</v>
      </c>
      <c r="R18" s="11" t="s">
        <v>517</v>
      </c>
      <c r="S18" s="11" t="s">
        <v>517</v>
      </c>
      <c r="T18" s="11" t="s">
        <v>517</v>
      </c>
      <c r="U18" s="43">
        <v>3.95E-2</v>
      </c>
      <c r="V18" s="11" t="s">
        <v>399</v>
      </c>
      <c r="W18" s="11" t="s">
        <v>517</v>
      </c>
      <c r="X18" s="11" t="s">
        <v>213</v>
      </c>
      <c r="Y18" s="11" t="s">
        <v>400</v>
      </c>
      <c r="Z18" s="11" t="s">
        <v>215</v>
      </c>
      <c r="AA18" s="11" t="s">
        <v>616</v>
      </c>
      <c r="AB18" s="11" t="s">
        <v>615</v>
      </c>
      <c r="AC18" s="11" t="s">
        <v>517</v>
      </c>
      <c r="AD18" s="11" t="s">
        <v>517</v>
      </c>
      <c r="AE18" s="11" t="s">
        <v>517</v>
      </c>
      <c r="AF18" s="11" t="s">
        <v>517</v>
      </c>
      <c r="AG18" s="41" t="s">
        <v>517</v>
      </c>
      <c r="AH18" s="41" t="s">
        <v>517</v>
      </c>
      <c r="AI18" s="11" t="s">
        <v>517</v>
      </c>
      <c r="AJ18" s="11" t="s">
        <v>517</v>
      </c>
      <c r="AK18" s="11" t="s">
        <v>517</v>
      </c>
      <c r="AL18" s="11" t="s">
        <v>517</v>
      </c>
      <c r="AM18" s="11" t="s">
        <v>517</v>
      </c>
      <c r="AN18" s="8"/>
      <c r="AO18" s="8"/>
      <c r="AP18" s="6" t="s">
        <v>517</v>
      </c>
      <c r="AQ18" s="6" t="s">
        <v>517</v>
      </c>
      <c r="AR18" s="6" t="s">
        <v>517</v>
      </c>
      <c r="AS18" s="6" t="s">
        <v>517</v>
      </c>
      <c r="AT18" s="8" t="s">
        <v>517</v>
      </c>
      <c r="AU18" s="8" t="s">
        <v>517</v>
      </c>
      <c r="AV18" s="8" t="s">
        <v>517</v>
      </c>
      <c r="AW18" s="8" t="s">
        <v>517</v>
      </c>
      <c r="AX18" s="8" t="s">
        <v>517</v>
      </c>
      <c r="AY18" s="8" t="s">
        <v>517</v>
      </c>
      <c r="AZ18" s="8" t="s">
        <v>517</v>
      </c>
      <c r="BA18" s="6" t="s">
        <v>517</v>
      </c>
      <c r="BB18" s="8" t="s">
        <v>117</v>
      </c>
      <c r="BC18" s="6" t="s">
        <v>9</v>
      </c>
      <c r="BD18" s="6" t="s">
        <v>401</v>
      </c>
      <c r="BE18" s="8" t="s">
        <v>402</v>
      </c>
      <c r="BF18" s="6" t="s">
        <v>178</v>
      </c>
      <c r="BG18" s="6" t="s">
        <v>517</v>
      </c>
      <c r="BH18" s="8" t="s">
        <v>9</v>
      </c>
      <c r="BI18" s="8" t="s">
        <v>215</v>
      </c>
      <c r="BJ18" s="8" t="s">
        <v>209</v>
      </c>
      <c r="BK18" s="8" t="s">
        <v>391</v>
      </c>
      <c r="BL18" s="8" t="s">
        <v>403</v>
      </c>
      <c r="BM18" s="8" t="s">
        <v>75</v>
      </c>
      <c r="BN18" s="8" t="s">
        <v>404</v>
      </c>
    </row>
    <row r="19" spans="1:66" ht="37.950000000000003" customHeight="1" x14ac:dyDescent="0.3">
      <c r="A19" s="4">
        <v>18</v>
      </c>
      <c r="B19" s="39" t="s">
        <v>405</v>
      </c>
      <c r="C19" s="11" t="s">
        <v>406</v>
      </c>
      <c r="D19" s="11" t="s">
        <v>407</v>
      </c>
      <c r="E19" s="11" t="s">
        <v>166</v>
      </c>
      <c r="F19" s="11" t="s">
        <v>802</v>
      </c>
      <c r="G19" s="11" t="s">
        <v>168</v>
      </c>
      <c r="H19" s="77">
        <v>48819</v>
      </c>
      <c r="I19" s="11" t="s">
        <v>408</v>
      </c>
      <c r="J19" s="11" t="s">
        <v>78</v>
      </c>
      <c r="K19" s="11" t="s">
        <v>517</v>
      </c>
      <c r="L19" s="11" t="s">
        <v>517</v>
      </c>
      <c r="M19" s="11" t="s">
        <v>9</v>
      </c>
      <c r="N19" s="11" t="s">
        <v>171</v>
      </c>
      <c r="O19" s="11" t="s">
        <v>517</v>
      </c>
      <c r="P19" s="11" t="s">
        <v>171</v>
      </c>
      <c r="Q19" s="11" t="s">
        <v>9</v>
      </c>
      <c r="R19" s="11" t="s">
        <v>517</v>
      </c>
      <c r="S19" s="11" t="s">
        <v>517</v>
      </c>
      <c r="T19" s="43">
        <v>4.2500000000000003E-2</v>
      </c>
      <c r="U19" s="43">
        <v>4.2500000000000003E-2</v>
      </c>
      <c r="V19" s="11" t="s">
        <v>410</v>
      </c>
      <c r="W19" s="11" t="s">
        <v>517</v>
      </c>
      <c r="X19" s="11" t="s">
        <v>213</v>
      </c>
      <c r="Y19" s="11" t="s">
        <v>387</v>
      </c>
      <c r="Z19" s="11" t="s">
        <v>411</v>
      </c>
      <c r="AA19" s="11" t="s">
        <v>388</v>
      </c>
      <c r="AB19" s="11" t="s">
        <v>388</v>
      </c>
      <c r="AC19" s="11" t="s">
        <v>517</v>
      </c>
      <c r="AD19" s="11" t="s">
        <v>517</v>
      </c>
      <c r="AE19" s="11" t="s">
        <v>517</v>
      </c>
      <c r="AF19" s="11" t="s">
        <v>517</v>
      </c>
      <c r="AG19" s="41" t="s">
        <v>517</v>
      </c>
      <c r="AH19" s="41" t="s">
        <v>517</v>
      </c>
      <c r="AI19" s="11" t="s">
        <v>517</v>
      </c>
      <c r="AJ19" s="11" t="s">
        <v>517</v>
      </c>
      <c r="AK19" s="11" t="s">
        <v>517</v>
      </c>
      <c r="AL19" s="11" t="s">
        <v>517</v>
      </c>
      <c r="AM19" s="11" t="s">
        <v>517</v>
      </c>
      <c r="AN19" s="8"/>
      <c r="AO19" s="8"/>
      <c r="AP19" s="6" t="s">
        <v>517</v>
      </c>
      <c r="AQ19" s="6" t="s">
        <v>517</v>
      </c>
      <c r="AR19" s="6" t="s">
        <v>517</v>
      </c>
      <c r="AS19" s="6" t="s">
        <v>517</v>
      </c>
      <c r="AT19" s="8" t="s">
        <v>517</v>
      </c>
      <c r="AU19" s="8" t="s">
        <v>412</v>
      </c>
      <c r="AV19" s="8" t="s">
        <v>413</v>
      </c>
      <c r="AW19" s="8" t="s">
        <v>414</v>
      </c>
      <c r="AX19" s="8" t="s">
        <v>409</v>
      </c>
      <c r="AY19" s="29">
        <v>46993</v>
      </c>
      <c r="AZ19" s="18">
        <v>4.0500000000000001E-2</v>
      </c>
      <c r="BA19" s="18" t="s">
        <v>804</v>
      </c>
      <c r="BB19" s="8" t="s">
        <v>117</v>
      </c>
      <c r="BC19" s="6" t="s">
        <v>9</v>
      </c>
      <c r="BD19" s="6" t="s">
        <v>415</v>
      </c>
      <c r="BE19" s="8" t="s">
        <v>416</v>
      </c>
      <c r="BF19" s="6" t="s">
        <v>178</v>
      </c>
      <c r="BG19" s="6" t="s">
        <v>517</v>
      </c>
      <c r="BH19" s="8" t="s">
        <v>9</v>
      </c>
      <c r="BI19" s="8" t="s">
        <v>417</v>
      </c>
      <c r="BJ19" s="8" t="s">
        <v>368</v>
      </c>
      <c r="BK19" s="8" t="s">
        <v>391</v>
      </c>
      <c r="BL19" s="8" t="s">
        <v>418</v>
      </c>
      <c r="BM19" s="8" t="s">
        <v>78</v>
      </c>
      <c r="BN19" s="8" t="s">
        <v>419</v>
      </c>
    </row>
    <row r="20" spans="1:66" ht="37.950000000000003" customHeight="1" x14ac:dyDescent="0.3">
      <c r="A20" s="4">
        <v>19</v>
      </c>
      <c r="B20" s="39" t="s">
        <v>420</v>
      </c>
      <c r="C20" s="11" t="s">
        <v>421</v>
      </c>
      <c r="D20" s="11" t="s">
        <v>422</v>
      </c>
      <c r="E20" s="11" t="s">
        <v>166</v>
      </c>
      <c r="F20" s="11" t="s">
        <v>386</v>
      </c>
      <c r="G20" s="11" t="s">
        <v>168</v>
      </c>
      <c r="H20" s="11" t="s">
        <v>209</v>
      </c>
      <c r="I20" s="11" t="s">
        <v>423</v>
      </c>
      <c r="J20" s="11" t="s">
        <v>81</v>
      </c>
      <c r="K20" s="11" t="s">
        <v>517</v>
      </c>
      <c r="L20" s="11" t="s">
        <v>517</v>
      </c>
      <c r="M20" s="11" t="s">
        <v>9</v>
      </c>
      <c r="N20" s="11" t="s">
        <v>228</v>
      </c>
      <c r="O20" s="11" t="s">
        <v>517</v>
      </c>
      <c r="P20" s="11" t="s">
        <v>228</v>
      </c>
      <c r="Q20" s="11" t="s">
        <v>9</v>
      </c>
      <c r="R20" s="11" t="s">
        <v>517</v>
      </c>
      <c r="S20" s="11" t="s">
        <v>517</v>
      </c>
      <c r="T20" s="43">
        <v>4.4999999999999998E-2</v>
      </c>
      <c r="U20" s="11" t="s">
        <v>517</v>
      </c>
      <c r="V20" s="11" t="s">
        <v>386</v>
      </c>
      <c r="W20" s="11" t="s">
        <v>517</v>
      </c>
      <c r="X20" s="11" t="s">
        <v>213</v>
      </c>
      <c r="Y20" s="11" t="s">
        <v>424</v>
      </c>
      <c r="Z20" s="11" t="s">
        <v>215</v>
      </c>
      <c r="AA20" s="11" t="s">
        <v>388</v>
      </c>
      <c r="AB20" s="11" t="s">
        <v>388</v>
      </c>
      <c r="AC20" s="11" t="s">
        <v>517</v>
      </c>
      <c r="AD20" s="11" t="s">
        <v>517</v>
      </c>
      <c r="AE20" s="11" t="s">
        <v>517</v>
      </c>
      <c r="AF20" s="11" t="s">
        <v>517</v>
      </c>
      <c r="AG20" s="41" t="s">
        <v>517</v>
      </c>
      <c r="AH20" s="41" t="s">
        <v>517</v>
      </c>
      <c r="AI20" s="11" t="s">
        <v>517</v>
      </c>
      <c r="AJ20" s="11" t="s">
        <v>517</v>
      </c>
      <c r="AK20" s="11" t="s">
        <v>517</v>
      </c>
      <c r="AL20" s="11" t="s">
        <v>517</v>
      </c>
      <c r="AM20" s="11" t="s">
        <v>517</v>
      </c>
      <c r="AN20" s="8"/>
      <c r="AO20" s="8"/>
      <c r="AP20" s="6" t="s">
        <v>517</v>
      </c>
      <c r="AQ20" s="6" t="s">
        <v>517</v>
      </c>
      <c r="AR20" s="6" t="s">
        <v>517</v>
      </c>
      <c r="AS20" s="6" t="s">
        <v>517</v>
      </c>
      <c r="AT20" s="8" t="s">
        <v>517</v>
      </c>
      <c r="AU20" s="8" t="s">
        <v>425</v>
      </c>
      <c r="AV20" s="8" t="s">
        <v>426</v>
      </c>
      <c r="AW20" s="8" t="s">
        <v>427</v>
      </c>
      <c r="AX20" s="8" t="s">
        <v>428</v>
      </c>
      <c r="AY20" s="8" t="s">
        <v>209</v>
      </c>
      <c r="AZ20" s="18">
        <v>3.7999999999999999E-2</v>
      </c>
      <c r="BA20" s="18" t="s">
        <v>805</v>
      </c>
      <c r="BB20" s="8" t="s">
        <v>117</v>
      </c>
      <c r="BC20" s="6" t="s">
        <v>9</v>
      </c>
      <c r="BD20" s="6" t="s">
        <v>429</v>
      </c>
      <c r="BE20" s="8" t="s">
        <v>430</v>
      </c>
      <c r="BF20" s="6" t="s">
        <v>178</v>
      </c>
      <c r="BG20" s="6" t="s">
        <v>517</v>
      </c>
      <c r="BH20" s="8" t="s">
        <v>9</v>
      </c>
      <c r="BI20" s="8" t="s">
        <v>215</v>
      </c>
      <c r="BJ20" s="8" t="s">
        <v>209</v>
      </c>
      <c r="BK20" s="8" t="s">
        <v>180</v>
      </c>
      <c r="BL20" s="8" t="s">
        <v>431</v>
      </c>
      <c r="BM20" s="8" t="s">
        <v>81</v>
      </c>
      <c r="BN20" s="8" t="s">
        <v>182</v>
      </c>
    </row>
    <row r="21" spans="1:66" ht="37.950000000000003" customHeight="1" x14ac:dyDescent="0.3">
      <c r="A21" s="4">
        <v>20</v>
      </c>
      <c r="B21" s="39" t="s">
        <v>432</v>
      </c>
      <c r="C21" s="11" t="s">
        <v>433</v>
      </c>
      <c r="D21" s="11" t="s">
        <v>434</v>
      </c>
      <c r="E21" s="11" t="s">
        <v>435</v>
      </c>
      <c r="F21" s="11" t="s">
        <v>803</v>
      </c>
      <c r="G21" s="11" t="s">
        <v>168</v>
      </c>
      <c r="H21" s="11" t="s">
        <v>812</v>
      </c>
      <c r="I21" s="11" t="s">
        <v>436</v>
      </c>
      <c r="J21" s="11" t="s">
        <v>86</v>
      </c>
      <c r="K21" s="11" t="s">
        <v>517</v>
      </c>
      <c r="L21" s="11" t="s">
        <v>517</v>
      </c>
      <c r="M21" s="11" t="s">
        <v>9</v>
      </c>
      <c r="N21" s="11" t="s">
        <v>437</v>
      </c>
      <c r="O21" s="11" t="s">
        <v>517</v>
      </c>
      <c r="P21" s="11" t="s">
        <v>437</v>
      </c>
      <c r="Q21" s="11" t="s">
        <v>9</v>
      </c>
      <c r="R21" s="11" t="s">
        <v>517</v>
      </c>
      <c r="S21" s="11" t="s">
        <v>517</v>
      </c>
      <c r="T21" s="11" t="s">
        <v>517</v>
      </c>
      <c r="U21" s="43">
        <v>4.1000000000000002E-2</v>
      </c>
      <c r="V21" s="11" t="s">
        <v>438</v>
      </c>
      <c r="W21" s="11" t="s">
        <v>517</v>
      </c>
      <c r="X21" s="11" t="s">
        <v>213</v>
      </c>
      <c r="Y21" s="11" t="s">
        <v>439</v>
      </c>
      <c r="Z21" s="11" t="s">
        <v>440</v>
      </c>
      <c r="AA21" s="11" t="s">
        <v>441</v>
      </c>
      <c r="AB21" s="11" t="s">
        <v>442</v>
      </c>
      <c r="AC21" s="11" t="s">
        <v>517</v>
      </c>
      <c r="AD21" s="11" t="s">
        <v>517</v>
      </c>
      <c r="AE21" s="11" t="s">
        <v>517</v>
      </c>
      <c r="AF21" s="11" t="s">
        <v>517</v>
      </c>
      <c r="AG21" s="41" t="s">
        <v>517</v>
      </c>
      <c r="AH21" s="41" t="s">
        <v>517</v>
      </c>
      <c r="AI21" s="11" t="s">
        <v>517</v>
      </c>
      <c r="AJ21" s="11" t="s">
        <v>517</v>
      </c>
      <c r="AK21" s="11" t="s">
        <v>517</v>
      </c>
      <c r="AL21" s="11" t="s">
        <v>517</v>
      </c>
      <c r="AM21" s="11" t="s">
        <v>517</v>
      </c>
      <c r="AN21" s="8"/>
      <c r="AO21" s="8"/>
      <c r="AP21" s="6" t="s">
        <v>517</v>
      </c>
      <c r="AQ21" s="6" t="s">
        <v>517</v>
      </c>
      <c r="AR21" s="6" t="s">
        <v>517</v>
      </c>
      <c r="AS21" s="6" t="s">
        <v>517</v>
      </c>
      <c r="AT21" s="8" t="s">
        <v>517</v>
      </c>
      <c r="AU21" s="8" t="s">
        <v>517</v>
      </c>
      <c r="AV21" s="8" t="s">
        <v>517</v>
      </c>
      <c r="AW21" s="8" t="s">
        <v>517</v>
      </c>
      <c r="AX21" s="8" t="s">
        <v>517</v>
      </c>
      <c r="AY21" s="8" t="s">
        <v>517</v>
      </c>
      <c r="AZ21" s="8" t="s">
        <v>517</v>
      </c>
      <c r="BA21" s="6" t="s">
        <v>517</v>
      </c>
      <c r="BB21" s="8" t="s">
        <v>117</v>
      </c>
      <c r="BC21" s="6" t="s">
        <v>9</v>
      </c>
      <c r="BD21" s="6" t="s">
        <v>443</v>
      </c>
      <c r="BE21" s="8" t="s">
        <v>444</v>
      </c>
      <c r="BF21" s="6" t="s">
        <v>178</v>
      </c>
      <c r="BG21" s="6" t="s">
        <v>517</v>
      </c>
      <c r="BH21" s="8" t="s">
        <v>9</v>
      </c>
      <c r="BI21" s="8" t="s">
        <v>445</v>
      </c>
      <c r="BJ21" s="8" t="s">
        <v>197</v>
      </c>
      <c r="BK21" s="8" t="s">
        <v>180</v>
      </c>
      <c r="BL21" s="8" t="s">
        <v>446</v>
      </c>
      <c r="BM21" s="8" t="s">
        <v>86</v>
      </c>
      <c r="BN21" s="8" t="s">
        <v>447</v>
      </c>
    </row>
    <row r="22" spans="1:66" ht="37.950000000000003" customHeight="1" x14ac:dyDescent="0.3">
      <c r="A22" s="4">
        <v>21</v>
      </c>
      <c r="B22" s="39" t="s">
        <v>448</v>
      </c>
      <c r="C22" s="11" t="s">
        <v>449</v>
      </c>
      <c r="D22" s="11" t="s">
        <v>450</v>
      </c>
      <c r="E22" s="11" t="s">
        <v>451</v>
      </c>
      <c r="F22" s="11" t="s">
        <v>452</v>
      </c>
      <c r="G22" s="11" t="s">
        <v>168</v>
      </c>
      <c r="H22" s="11" t="s">
        <v>277</v>
      </c>
      <c r="I22" s="11" t="s">
        <v>453</v>
      </c>
      <c r="J22" s="11" t="s">
        <v>89</v>
      </c>
      <c r="K22" s="11" t="s">
        <v>517</v>
      </c>
      <c r="L22" s="11" t="s">
        <v>517</v>
      </c>
      <c r="M22" s="11" t="s">
        <v>9</v>
      </c>
      <c r="N22" s="11" t="s">
        <v>187</v>
      </c>
      <c r="O22" s="11" t="s">
        <v>517</v>
      </c>
      <c r="P22" s="11" t="s">
        <v>187</v>
      </c>
      <c r="Q22" s="11" t="s">
        <v>9</v>
      </c>
      <c r="R22" s="11" t="s">
        <v>517</v>
      </c>
      <c r="S22" s="11" t="s">
        <v>517</v>
      </c>
      <c r="T22" s="11" t="s">
        <v>517</v>
      </c>
      <c r="U22" s="11" t="s">
        <v>454</v>
      </c>
      <c r="V22" s="11" t="s">
        <v>517</v>
      </c>
      <c r="W22" s="11" t="s">
        <v>517</v>
      </c>
      <c r="X22" s="11" t="s">
        <v>517</v>
      </c>
      <c r="Y22" s="11" t="s">
        <v>517</v>
      </c>
      <c r="Z22" s="11" t="s">
        <v>517</v>
      </c>
      <c r="AA22" s="11" t="s">
        <v>517</v>
      </c>
      <c r="AB22" s="42" t="s">
        <v>216</v>
      </c>
      <c r="AC22" s="11" t="s">
        <v>517</v>
      </c>
      <c r="AD22" s="11" t="s">
        <v>517</v>
      </c>
      <c r="AE22" s="11" t="s">
        <v>517</v>
      </c>
      <c r="AF22" s="11" t="s">
        <v>517</v>
      </c>
      <c r="AG22" s="41" t="s">
        <v>517</v>
      </c>
      <c r="AH22" s="41" t="s">
        <v>517</v>
      </c>
      <c r="AI22" s="11" t="s">
        <v>517</v>
      </c>
      <c r="AJ22" s="11" t="s">
        <v>517</v>
      </c>
      <c r="AK22" s="11" t="s">
        <v>517</v>
      </c>
      <c r="AL22" s="11" t="s">
        <v>517</v>
      </c>
      <c r="AM22" s="11" t="s">
        <v>517</v>
      </c>
      <c r="AN22" s="8"/>
      <c r="AO22" s="8"/>
      <c r="AP22" s="6" t="s">
        <v>455</v>
      </c>
      <c r="AQ22" s="9" t="s">
        <v>456</v>
      </c>
      <c r="AR22" s="9" t="s">
        <v>457</v>
      </c>
      <c r="AS22" s="9" t="s">
        <v>458</v>
      </c>
      <c r="AT22" s="8" t="s">
        <v>284</v>
      </c>
      <c r="AU22" s="8" t="s">
        <v>517</v>
      </c>
      <c r="AV22" s="8" t="s">
        <v>517</v>
      </c>
      <c r="AW22" s="8" t="s">
        <v>517</v>
      </c>
      <c r="AX22" s="8" t="s">
        <v>517</v>
      </c>
      <c r="AY22" s="8" t="s">
        <v>517</v>
      </c>
      <c r="AZ22" s="8" t="s">
        <v>517</v>
      </c>
      <c r="BA22" s="6" t="s">
        <v>517</v>
      </c>
      <c r="BB22" s="8" t="s">
        <v>613</v>
      </c>
      <c r="BC22" s="9" t="s">
        <v>459</v>
      </c>
      <c r="BD22" s="6" t="s">
        <v>460</v>
      </c>
      <c r="BE22" s="8" t="s">
        <v>461</v>
      </c>
      <c r="BF22" s="6" t="s">
        <v>462</v>
      </c>
      <c r="BG22" s="6" t="s">
        <v>463</v>
      </c>
      <c r="BH22" s="8" t="s">
        <v>9</v>
      </c>
      <c r="BI22" s="8" t="s">
        <v>284</v>
      </c>
      <c r="BJ22" s="8" t="s">
        <v>277</v>
      </c>
      <c r="BK22" s="8" t="s">
        <v>391</v>
      </c>
      <c r="BL22" s="8" t="s">
        <v>464</v>
      </c>
      <c r="BM22" s="8" t="s">
        <v>89</v>
      </c>
      <c r="BN22" s="8" t="s">
        <v>465</v>
      </c>
    </row>
    <row r="23" spans="1:66" ht="37.950000000000003" customHeight="1" x14ac:dyDescent="0.3">
      <c r="A23" s="4">
        <v>22</v>
      </c>
      <c r="B23" s="39" t="s">
        <v>92</v>
      </c>
      <c r="C23" s="11" t="s">
        <v>466</v>
      </c>
      <c r="D23" s="11" t="s">
        <v>467</v>
      </c>
      <c r="E23" s="11" t="s">
        <v>451</v>
      </c>
      <c r="F23" s="42" t="s">
        <v>468</v>
      </c>
      <c r="G23" s="11" t="s">
        <v>168</v>
      </c>
      <c r="H23" s="11" t="s">
        <v>277</v>
      </c>
      <c r="I23" s="11" t="s">
        <v>469</v>
      </c>
      <c r="J23" s="11" t="s">
        <v>91</v>
      </c>
      <c r="K23" s="11" t="s">
        <v>517</v>
      </c>
      <c r="L23" s="11" t="s">
        <v>517</v>
      </c>
      <c r="M23" s="11" t="s">
        <v>9</v>
      </c>
      <c r="N23" s="11" t="s">
        <v>228</v>
      </c>
      <c r="O23" s="11" t="s">
        <v>517</v>
      </c>
      <c r="P23" s="11" t="s">
        <v>228</v>
      </c>
      <c r="Q23" s="11" t="s">
        <v>9</v>
      </c>
      <c r="R23" s="11" t="s">
        <v>517</v>
      </c>
      <c r="S23" s="11" t="s">
        <v>517</v>
      </c>
      <c r="T23" s="11" t="s">
        <v>517</v>
      </c>
      <c r="U23" s="11" t="s">
        <v>470</v>
      </c>
      <c r="V23" s="11" t="s">
        <v>517</v>
      </c>
      <c r="W23" s="11" t="s">
        <v>517</v>
      </c>
      <c r="X23" s="11" t="s">
        <v>517</v>
      </c>
      <c r="Y23" s="11" t="s">
        <v>517</v>
      </c>
      <c r="Z23" s="11" t="s">
        <v>517</v>
      </c>
      <c r="AA23" s="11" t="s">
        <v>517</v>
      </c>
      <c r="AB23" s="42" t="s">
        <v>216</v>
      </c>
      <c r="AC23" s="11" t="s">
        <v>517</v>
      </c>
      <c r="AD23" s="11" t="s">
        <v>517</v>
      </c>
      <c r="AE23" s="11" t="s">
        <v>517</v>
      </c>
      <c r="AF23" s="11" t="s">
        <v>517</v>
      </c>
      <c r="AG23" s="41" t="s">
        <v>517</v>
      </c>
      <c r="AH23" s="41" t="s">
        <v>517</v>
      </c>
      <c r="AI23" s="11" t="s">
        <v>517</v>
      </c>
      <c r="AJ23" s="11" t="s">
        <v>517</v>
      </c>
      <c r="AK23" s="11" t="s">
        <v>517</v>
      </c>
      <c r="AL23" s="11" t="s">
        <v>517</v>
      </c>
      <c r="AM23" s="11" t="s">
        <v>517</v>
      </c>
      <c r="AN23" s="8"/>
      <c r="AO23" s="8"/>
      <c r="AP23" s="6" t="s">
        <v>471</v>
      </c>
      <c r="AQ23" s="6" t="s">
        <v>472</v>
      </c>
      <c r="AR23" s="6" t="s">
        <v>473</v>
      </c>
      <c r="AS23" s="9" t="s">
        <v>458</v>
      </c>
      <c r="AT23" s="8" t="s">
        <v>284</v>
      </c>
      <c r="AU23" s="8" t="s">
        <v>517</v>
      </c>
      <c r="AV23" s="8" t="s">
        <v>517</v>
      </c>
      <c r="AW23" s="8" t="s">
        <v>517</v>
      </c>
      <c r="AX23" s="8" t="s">
        <v>517</v>
      </c>
      <c r="AY23" s="8" t="s">
        <v>517</v>
      </c>
      <c r="AZ23" s="8" t="s">
        <v>517</v>
      </c>
      <c r="BA23" s="6" t="s">
        <v>517</v>
      </c>
      <c r="BB23" s="8" t="s">
        <v>613</v>
      </c>
      <c r="BC23" s="9" t="s">
        <v>474</v>
      </c>
      <c r="BD23" s="6" t="s">
        <v>475</v>
      </c>
      <c r="BE23" s="8" t="s">
        <v>476</v>
      </c>
      <c r="BF23" s="6" t="s">
        <v>477</v>
      </c>
      <c r="BG23" s="6" t="s">
        <v>478</v>
      </c>
      <c r="BH23" s="8" t="s">
        <v>9</v>
      </c>
      <c r="BI23" s="8" t="s">
        <v>284</v>
      </c>
      <c r="BJ23" s="8" t="s">
        <v>277</v>
      </c>
      <c r="BK23" s="8" t="s">
        <v>391</v>
      </c>
      <c r="BL23" s="8" t="s">
        <v>479</v>
      </c>
      <c r="BM23" s="8" t="s">
        <v>91</v>
      </c>
      <c r="BN23" s="10" t="s">
        <v>480</v>
      </c>
    </row>
    <row r="24" spans="1:66" ht="37.950000000000003" customHeight="1" x14ac:dyDescent="0.3">
      <c r="A24" s="4">
        <v>23</v>
      </c>
      <c r="B24" s="39" t="s">
        <v>481</v>
      </c>
      <c r="C24" s="11" t="s">
        <v>482</v>
      </c>
      <c r="D24" s="11" t="s">
        <v>483</v>
      </c>
      <c r="E24" s="11" t="s">
        <v>166</v>
      </c>
      <c r="F24" s="42" t="s">
        <v>484</v>
      </c>
      <c r="G24" s="11" t="s">
        <v>168</v>
      </c>
      <c r="H24" s="79">
        <v>46446</v>
      </c>
      <c r="I24" s="11" t="s">
        <v>485</v>
      </c>
      <c r="J24" s="11" t="s">
        <v>95</v>
      </c>
      <c r="K24" s="11" t="s">
        <v>517</v>
      </c>
      <c r="L24" s="11" t="s">
        <v>517</v>
      </c>
      <c r="M24" s="11" t="s">
        <v>9</v>
      </c>
      <c r="N24" s="11" t="s">
        <v>304</v>
      </c>
      <c r="O24" s="11" t="s">
        <v>517</v>
      </c>
      <c r="P24" s="11" t="s">
        <v>304</v>
      </c>
      <c r="Q24" s="11" t="s">
        <v>9</v>
      </c>
      <c r="R24" s="11" t="s">
        <v>517</v>
      </c>
      <c r="S24" s="11" t="s">
        <v>517</v>
      </c>
      <c r="T24" s="11" t="s">
        <v>486</v>
      </c>
      <c r="U24" s="11" t="s">
        <v>517</v>
      </c>
      <c r="V24" s="11" t="s">
        <v>517</v>
      </c>
      <c r="W24" s="11" t="s">
        <v>517</v>
      </c>
      <c r="X24" s="11" t="s">
        <v>517</v>
      </c>
      <c r="Y24" s="11" t="s">
        <v>517</v>
      </c>
      <c r="Z24" s="11" t="s">
        <v>517</v>
      </c>
      <c r="AA24" s="11" t="s">
        <v>517</v>
      </c>
      <c r="AB24" s="11" t="s">
        <v>517</v>
      </c>
      <c r="AC24" s="11" t="s">
        <v>517</v>
      </c>
      <c r="AD24" s="11" t="s">
        <v>517</v>
      </c>
      <c r="AE24" s="11" t="s">
        <v>517</v>
      </c>
      <c r="AF24" s="11" t="s">
        <v>517</v>
      </c>
      <c r="AG24" s="41" t="s">
        <v>517</v>
      </c>
      <c r="AH24" s="41" t="s">
        <v>517</v>
      </c>
      <c r="AI24" s="11" t="s">
        <v>517</v>
      </c>
      <c r="AJ24" s="11" t="s">
        <v>517</v>
      </c>
      <c r="AK24" s="11" t="s">
        <v>517</v>
      </c>
      <c r="AL24" s="11" t="s">
        <v>517</v>
      </c>
      <c r="AM24" s="11" t="s">
        <v>517</v>
      </c>
      <c r="AN24" s="8"/>
      <c r="AO24" s="8"/>
      <c r="AP24" s="6" t="s">
        <v>471</v>
      </c>
      <c r="AQ24" s="6" t="s">
        <v>472</v>
      </c>
      <c r="AR24" s="6" t="s">
        <v>473</v>
      </c>
      <c r="AS24" s="9" t="s">
        <v>458</v>
      </c>
      <c r="AT24" s="10" t="s">
        <v>487</v>
      </c>
      <c r="AU24" s="8" t="s">
        <v>488</v>
      </c>
      <c r="AV24" s="8" t="s">
        <v>489</v>
      </c>
      <c r="AW24" s="8" t="s">
        <v>414</v>
      </c>
      <c r="AX24" s="8" t="s">
        <v>490</v>
      </c>
      <c r="AY24" s="8" t="s">
        <v>197</v>
      </c>
      <c r="AZ24" s="8" t="s">
        <v>491</v>
      </c>
      <c r="BA24" s="9" t="s">
        <v>492</v>
      </c>
      <c r="BB24" s="8" t="s">
        <v>614</v>
      </c>
      <c r="BC24" s="9" t="s">
        <v>474</v>
      </c>
      <c r="BD24" s="6" t="s">
        <v>493</v>
      </c>
      <c r="BE24" s="8" t="s">
        <v>494</v>
      </c>
      <c r="BF24" s="6" t="s">
        <v>477</v>
      </c>
      <c r="BG24" s="6" t="s">
        <v>478</v>
      </c>
      <c r="BH24" s="8" t="s">
        <v>9</v>
      </c>
      <c r="BI24" s="8" t="s">
        <v>203</v>
      </c>
      <c r="BJ24" s="8" t="s">
        <v>197</v>
      </c>
      <c r="BK24" s="8" t="s">
        <v>391</v>
      </c>
      <c r="BL24" s="8" t="s">
        <v>495</v>
      </c>
      <c r="BM24" s="8" t="s">
        <v>95</v>
      </c>
      <c r="BN24" s="8" t="s">
        <v>496</v>
      </c>
    </row>
    <row r="25" spans="1:66" ht="37.950000000000003" customHeight="1" x14ac:dyDescent="0.3">
      <c r="A25" s="4">
        <v>24</v>
      </c>
      <c r="B25" s="39" t="s">
        <v>497</v>
      </c>
      <c r="C25" s="11" t="s">
        <v>498</v>
      </c>
      <c r="D25" s="11" t="s">
        <v>499</v>
      </c>
      <c r="E25" s="11" t="s">
        <v>500</v>
      </c>
      <c r="F25" s="11" t="s">
        <v>501</v>
      </c>
      <c r="G25" s="11" t="s">
        <v>168</v>
      </c>
      <c r="H25" s="11" t="s">
        <v>169</v>
      </c>
      <c r="I25" s="11" t="s">
        <v>502</v>
      </c>
      <c r="J25" s="11" t="s">
        <v>98</v>
      </c>
      <c r="K25" s="11" t="s">
        <v>517</v>
      </c>
      <c r="L25" s="11" t="s">
        <v>517</v>
      </c>
      <c r="M25" s="11" t="s">
        <v>9</v>
      </c>
      <c r="N25" s="11" t="s">
        <v>266</v>
      </c>
      <c r="O25" s="11" t="s">
        <v>517</v>
      </c>
      <c r="P25" s="11" t="s">
        <v>266</v>
      </c>
      <c r="Q25" s="11" t="s">
        <v>9</v>
      </c>
      <c r="R25" s="11" t="s">
        <v>517</v>
      </c>
      <c r="S25" s="11" t="s">
        <v>503</v>
      </c>
      <c r="T25" s="11" t="s">
        <v>517</v>
      </c>
      <c r="U25" s="11" t="s">
        <v>517</v>
      </c>
      <c r="V25" s="11" t="s">
        <v>517</v>
      </c>
      <c r="W25" s="11" t="s">
        <v>517</v>
      </c>
      <c r="X25" s="11" t="s">
        <v>517</v>
      </c>
      <c r="Y25" s="11" t="s">
        <v>517</v>
      </c>
      <c r="Z25" s="11" t="s">
        <v>517</v>
      </c>
      <c r="AA25" s="11" t="s">
        <v>517</v>
      </c>
      <c r="AB25" s="11" t="s">
        <v>517</v>
      </c>
      <c r="AC25" s="11" t="s">
        <v>517</v>
      </c>
      <c r="AD25" s="11" t="s">
        <v>517</v>
      </c>
      <c r="AE25" s="11" t="s">
        <v>517</v>
      </c>
      <c r="AF25" s="11" t="s">
        <v>517</v>
      </c>
      <c r="AG25" s="41" t="s">
        <v>517</v>
      </c>
      <c r="AH25" s="41" t="s">
        <v>517</v>
      </c>
      <c r="AI25" s="11" t="s">
        <v>517</v>
      </c>
      <c r="AJ25" s="11" t="s">
        <v>517</v>
      </c>
      <c r="AK25" s="11" t="s">
        <v>517</v>
      </c>
      <c r="AL25" s="11" t="s">
        <v>517</v>
      </c>
      <c r="AM25" s="11" t="s">
        <v>517</v>
      </c>
      <c r="AN25" s="8"/>
      <c r="AO25" s="8"/>
      <c r="AP25" s="6" t="s">
        <v>504</v>
      </c>
      <c r="AQ25" s="6" t="s">
        <v>505</v>
      </c>
      <c r="AR25" s="9" t="s">
        <v>457</v>
      </c>
      <c r="AS25" s="9" t="s">
        <v>458</v>
      </c>
      <c r="AT25" s="8" t="s">
        <v>191</v>
      </c>
      <c r="AU25" s="8" t="s">
        <v>517</v>
      </c>
      <c r="AV25" s="8" t="s">
        <v>517</v>
      </c>
      <c r="AW25" s="8" t="s">
        <v>517</v>
      </c>
      <c r="AX25" s="8" t="s">
        <v>517</v>
      </c>
      <c r="AY25" s="8" t="s">
        <v>517</v>
      </c>
      <c r="AZ25" s="8" t="s">
        <v>517</v>
      </c>
      <c r="BA25" s="6" t="s">
        <v>517</v>
      </c>
      <c r="BB25" s="8" t="s">
        <v>613</v>
      </c>
      <c r="BC25" s="9" t="s">
        <v>459</v>
      </c>
      <c r="BD25" s="6" t="s">
        <v>506</v>
      </c>
      <c r="BE25" s="8" t="s">
        <v>461</v>
      </c>
      <c r="BF25" s="6" t="s">
        <v>462</v>
      </c>
      <c r="BG25" s="6" t="s">
        <v>463</v>
      </c>
      <c r="BH25" s="8" t="s">
        <v>9</v>
      </c>
      <c r="BI25" s="8" t="s">
        <v>191</v>
      </c>
      <c r="BJ25" s="8" t="s">
        <v>169</v>
      </c>
      <c r="BK25" s="8" t="s">
        <v>180</v>
      </c>
      <c r="BL25" s="8" t="s">
        <v>507</v>
      </c>
      <c r="BM25" s="8" t="s">
        <v>98</v>
      </c>
      <c r="BN25" s="8" t="s">
        <v>182</v>
      </c>
    </row>
    <row r="26" spans="1:66" x14ac:dyDescent="0.3">
      <c r="AJ26" s="7"/>
      <c r="AK26" s="7"/>
      <c r="AL26" s="7"/>
      <c r="AM26" s="7"/>
      <c r="AN26" s="7"/>
      <c r="AO26" s="7"/>
      <c r="AT26" s="7"/>
      <c r="AU26" s="7"/>
      <c r="AV26" s="7"/>
    </row>
  </sheetData>
  <autoFilter ref="A1:BN25" xr:uid="{26316559-7AB6-49CD-A466-38BA6108339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4963-40A9-4DFF-A21C-715D1EE8D486}">
  <sheetPr>
    <tabColor rgb="FFFFFF00"/>
  </sheetPr>
  <dimension ref="B2:AH40"/>
  <sheetViews>
    <sheetView showGridLines="0" topLeftCell="T1" workbookViewId="0">
      <selection activeCell="W4" sqref="W4:AH19"/>
    </sheetView>
  </sheetViews>
  <sheetFormatPr defaultRowHeight="14.4" x14ac:dyDescent="0.3"/>
  <cols>
    <col min="1" max="1" width="6.5546875" customWidth="1"/>
    <col min="2" max="2" width="13.109375" bestFit="1" customWidth="1"/>
    <col min="4" max="4" width="38.77734375" bestFit="1" customWidth="1"/>
    <col min="23" max="23" width="12" customWidth="1"/>
    <col min="24" max="24" width="18" customWidth="1"/>
    <col min="25" max="25" width="15" customWidth="1"/>
    <col min="26" max="26" width="12" customWidth="1"/>
    <col min="27" max="30" width="14" customWidth="1"/>
    <col min="31" max="31" width="17" customWidth="1"/>
    <col min="32" max="32" width="14" customWidth="1"/>
    <col min="33" max="33" width="19" customWidth="1"/>
    <col min="34" max="34" width="15" customWidth="1"/>
  </cols>
  <sheetData>
    <row r="2" spans="2:34" ht="18" x14ac:dyDescent="0.35">
      <c r="B2" s="44" t="s">
        <v>623</v>
      </c>
      <c r="C2" s="44"/>
      <c r="D2" s="44" t="s">
        <v>624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W2" s="32" t="s">
        <v>625</v>
      </c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</row>
    <row r="3" spans="2:34" x14ac:dyDescent="0.3">
      <c r="D3" t="s">
        <v>571</v>
      </c>
      <c r="E3">
        <v>1</v>
      </c>
      <c r="F3">
        <v>7</v>
      </c>
      <c r="G3">
        <v>30</v>
      </c>
      <c r="H3">
        <v>60</v>
      </c>
      <c r="I3">
        <v>90</v>
      </c>
      <c r="J3">
        <v>180</v>
      </c>
      <c r="K3">
        <v>270</v>
      </c>
      <c r="L3">
        <v>365</v>
      </c>
      <c r="M3">
        <v>548</v>
      </c>
      <c r="N3">
        <v>730</v>
      </c>
      <c r="O3">
        <v>1095</v>
      </c>
      <c r="P3">
        <v>1825</v>
      </c>
      <c r="Q3">
        <v>2555</v>
      </c>
      <c r="R3">
        <v>3650</v>
      </c>
      <c r="S3">
        <v>7300</v>
      </c>
    </row>
    <row r="4" spans="2:34" x14ac:dyDescent="0.3">
      <c r="B4" s="46" t="s">
        <v>2</v>
      </c>
      <c r="C4" s="46" t="s">
        <v>522</v>
      </c>
      <c r="D4" s="46" t="s">
        <v>523</v>
      </c>
      <c r="E4" s="46" t="s">
        <v>524</v>
      </c>
      <c r="F4" s="46" t="s">
        <v>525</v>
      </c>
      <c r="G4" s="46" t="s">
        <v>526</v>
      </c>
      <c r="H4" s="46" t="s">
        <v>527</v>
      </c>
      <c r="I4" s="46" t="s">
        <v>528</v>
      </c>
      <c r="J4" s="46" t="s">
        <v>203</v>
      </c>
      <c r="K4" s="46" t="s">
        <v>529</v>
      </c>
      <c r="L4" s="46" t="s">
        <v>191</v>
      </c>
      <c r="M4" s="46" t="s">
        <v>530</v>
      </c>
      <c r="N4" s="46" t="s">
        <v>377</v>
      </c>
      <c r="O4" s="46" t="s">
        <v>215</v>
      </c>
      <c r="P4" s="46" t="s">
        <v>284</v>
      </c>
      <c r="Q4" s="46" t="s">
        <v>531</v>
      </c>
      <c r="R4" s="46" t="s">
        <v>532</v>
      </c>
      <c r="S4" s="46" t="s">
        <v>533</v>
      </c>
      <c r="W4" s="59" t="s">
        <v>2</v>
      </c>
      <c r="X4" s="59" t="s">
        <v>626</v>
      </c>
      <c r="Y4" s="59" t="s">
        <v>627</v>
      </c>
      <c r="Z4" s="59" t="s">
        <v>120</v>
      </c>
      <c r="AA4" s="59" t="s">
        <v>628</v>
      </c>
      <c r="AB4" s="59" t="s">
        <v>629</v>
      </c>
      <c r="AC4" s="59" t="s">
        <v>630</v>
      </c>
      <c r="AD4" s="59" t="s">
        <v>631</v>
      </c>
      <c r="AE4" s="59" t="s">
        <v>632</v>
      </c>
      <c r="AF4" s="59" t="s">
        <v>633</v>
      </c>
      <c r="AG4" s="59" t="s">
        <v>634</v>
      </c>
      <c r="AH4" s="59" t="s">
        <v>635</v>
      </c>
    </row>
    <row r="5" spans="2:34" x14ac:dyDescent="0.3">
      <c r="B5" s="47" t="s">
        <v>9</v>
      </c>
      <c r="C5" s="47" t="s">
        <v>9</v>
      </c>
      <c r="D5" s="47" t="s">
        <v>534</v>
      </c>
      <c r="E5" s="48">
        <v>3.6999999999999998E-2</v>
      </c>
      <c r="F5" s="48">
        <v>3.7199999999999997E-2</v>
      </c>
      <c r="G5" s="48">
        <v>3.7499999999999999E-2</v>
      </c>
      <c r="H5" s="48">
        <v>3.7999999999999999E-2</v>
      </c>
      <c r="I5" s="48">
        <v>3.85E-2</v>
      </c>
      <c r="J5" s="48">
        <v>0.04</v>
      </c>
      <c r="K5" s="48">
        <v>4.1500000000000002E-2</v>
      </c>
      <c r="L5" s="48">
        <v>4.2200000000000001E-2</v>
      </c>
      <c r="M5" s="49">
        <v>4.2999999999999997E-2</v>
      </c>
      <c r="N5" s="48">
        <v>4.3999999999999997E-2</v>
      </c>
      <c r="O5" s="48">
        <v>4.4999999999999998E-2</v>
      </c>
      <c r="P5" s="48">
        <v>4.5499999999999999E-2</v>
      </c>
      <c r="Q5" s="48">
        <v>4.5999999999999999E-2</v>
      </c>
      <c r="R5" s="48">
        <v>4.65E-2</v>
      </c>
      <c r="S5" s="48">
        <v>4.7E-2</v>
      </c>
      <c r="W5" s="20" t="s">
        <v>9</v>
      </c>
      <c r="X5" s="20" t="s">
        <v>213</v>
      </c>
      <c r="Y5" s="20" t="s">
        <v>636</v>
      </c>
      <c r="Z5" s="20" t="s">
        <v>524</v>
      </c>
      <c r="AA5" s="20">
        <v>2.7397260273972599E-3</v>
      </c>
      <c r="AB5" s="60">
        <f>INDEX($E$5:$S$5,1,MATCH(Z5,$E$4:$S$4,0))</f>
        <v>3.6999999999999998E-2</v>
      </c>
      <c r="AC5" s="20" t="s">
        <v>637</v>
      </c>
      <c r="AD5" s="20" t="s">
        <v>615</v>
      </c>
      <c r="AE5" s="61">
        <f t="shared" ref="AE5:AE19" si="0">1/(1+AB5)^AA5</f>
        <v>0.99990046542171018</v>
      </c>
      <c r="AF5" s="60">
        <f t="shared" ref="AF5:AF19" si="1">AB5</f>
        <v>3.6999999999999998E-2</v>
      </c>
      <c r="AG5" s="20">
        <v>0</v>
      </c>
      <c r="AH5" s="60"/>
    </row>
    <row r="6" spans="2:34" x14ac:dyDescent="0.3">
      <c r="B6" s="47" t="s">
        <v>17</v>
      </c>
      <c r="C6" s="47" t="s">
        <v>17</v>
      </c>
      <c r="D6" s="47" t="s">
        <v>535</v>
      </c>
      <c r="E6" s="48">
        <v>0.02</v>
      </c>
      <c r="F6" s="48">
        <v>2.0199999999999999E-2</v>
      </c>
      <c r="G6" s="48">
        <v>2.0500000000000001E-2</v>
      </c>
      <c r="H6" s="48">
        <v>2.0799999999999999E-2</v>
      </c>
      <c r="I6" s="48">
        <v>2.1000000000000001E-2</v>
      </c>
      <c r="J6" s="48">
        <v>2.1999999999999999E-2</v>
      </c>
      <c r="K6" s="48">
        <v>2.3E-2</v>
      </c>
      <c r="L6" s="48">
        <v>2.35E-2</v>
      </c>
      <c r="M6" s="49">
        <v>2.4E-2</v>
      </c>
      <c r="N6" s="48">
        <v>2.4500000000000001E-2</v>
      </c>
      <c r="O6" s="48">
        <v>2.5000000000000001E-2</v>
      </c>
      <c r="P6" s="48">
        <v>2.5499999999999998E-2</v>
      </c>
      <c r="Q6" s="48">
        <v>2.5999999999999999E-2</v>
      </c>
      <c r="R6" s="48">
        <v>2.6499999999999999E-2</v>
      </c>
      <c r="S6" s="48">
        <v>2.7E-2</v>
      </c>
      <c r="W6" s="20" t="s">
        <v>9</v>
      </c>
      <c r="X6" s="20" t="s">
        <v>213</v>
      </c>
      <c r="Y6" s="20" t="s">
        <v>636</v>
      </c>
      <c r="Z6" s="20" t="s">
        <v>525</v>
      </c>
      <c r="AA6" s="20">
        <v>1.9178082191780819E-2</v>
      </c>
      <c r="AB6" s="60">
        <f t="shared" ref="AB6:AB19" si="2">INDEX($E$5:$S$5,1,MATCH(Z6,$E$4:$S$4,0))</f>
        <v>3.7199999999999997E-2</v>
      </c>
      <c r="AC6" s="20" t="s">
        <v>637</v>
      </c>
      <c r="AD6" s="20" t="s">
        <v>615</v>
      </c>
      <c r="AE6" s="61">
        <f t="shared" si="0"/>
        <v>0.99929977014453664</v>
      </c>
      <c r="AF6" s="60">
        <f t="shared" si="1"/>
        <v>3.7199999999999997E-2</v>
      </c>
      <c r="AG6" s="20">
        <f t="shared" ref="AG6:AG19" si="3">AA5</f>
        <v>2.7397260273972599E-3</v>
      </c>
      <c r="AH6" s="60">
        <f t="shared" ref="AH6:AH19" si="4">(AE5/AE6-1)/(AA6-AA5)</f>
        <v>3.6567901964761902E-2</v>
      </c>
    </row>
    <row r="7" spans="2:34" x14ac:dyDescent="0.3">
      <c r="B7" s="47" t="s">
        <v>536</v>
      </c>
      <c r="C7" s="47" t="s">
        <v>536</v>
      </c>
      <c r="D7" s="47" t="s">
        <v>537</v>
      </c>
      <c r="E7" s="48">
        <v>4.2000000000000003E-2</v>
      </c>
      <c r="F7" s="48">
        <v>4.2200000000000001E-2</v>
      </c>
      <c r="G7" s="48">
        <v>4.2500000000000003E-2</v>
      </c>
      <c r="H7" s="48">
        <v>4.2799999999999998E-2</v>
      </c>
      <c r="I7" s="48">
        <v>4.2999999999999997E-2</v>
      </c>
      <c r="J7" s="48">
        <v>4.3999999999999997E-2</v>
      </c>
      <c r="K7" s="48">
        <v>4.4999999999999998E-2</v>
      </c>
      <c r="L7" s="48">
        <v>4.5499999999999999E-2</v>
      </c>
      <c r="M7" s="48">
        <v>4.5999999999999999E-2</v>
      </c>
      <c r="N7" s="48">
        <v>4.65E-2</v>
      </c>
      <c r="O7" s="48">
        <v>4.7E-2</v>
      </c>
      <c r="P7" s="48">
        <v>4.7500000000000001E-2</v>
      </c>
      <c r="Q7" s="48">
        <v>4.8000000000000001E-2</v>
      </c>
      <c r="R7" s="48">
        <v>4.8500000000000001E-2</v>
      </c>
      <c r="S7" s="48">
        <v>4.9000000000000002E-2</v>
      </c>
      <c r="W7" s="20" t="s">
        <v>9</v>
      </c>
      <c r="X7" s="20" t="s">
        <v>213</v>
      </c>
      <c r="Y7" s="20" t="s">
        <v>636</v>
      </c>
      <c r="Z7" s="20" t="s">
        <v>526</v>
      </c>
      <c r="AA7" s="20">
        <v>8.3333333333333329E-2</v>
      </c>
      <c r="AB7" s="60">
        <f t="shared" si="2"/>
        <v>3.7499999999999999E-2</v>
      </c>
      <c r="AC7" s="20" t="s">
        <v>637</v>
      </c>
      <c r="AD7" s="20" t="s">
        <v>615</v>
      </c>
      <c r="AE7" s="61">
        <f t="shared" si="0"/>
        <v>0.99693686989174457</v>
      </c>
      <c r="AF7" s="60">
        <f t="shared" si="1"/>
        <v>3.7499999999999999E-2</v>
      </c>
      <c r="AG7" s="20">
        <f t="shared" si="3"/>
        <v>1.9178082191780819E-2</v>
      </c>
      <c r="AH7" s="60">
        <f t="shared" si="4"/>
        <v>3.6944136609018012E-2</v>
      </c>
    </row>
    <row r="8" spans="2:34" x14ac:dyDescent="0.3">
      <c r="B8" s="47" t="s">
        <v>265</v>
      </c>
      <c r="C8" s="47" t="s">
        <v>265</v>
      </c>
      <c r="D8" s="47" t="s">
        <v>538</v>
      </c>
      <c r="E8" s="48">
        <v>4.0000000000000001E-3</v>
      </c>
      <c r="F8" s="48">
        <v>4.1000000000000003E-3</v>
      </c>
      <c r="G8" s="48">
        <v>4.4999999999999997E-3</v>
      </c>
      <c r="H8" s="48">
        <v>4.7999999999999996E-3</v>
      </c>
      <c r="I8" s="48">
        <v>5.0000000000000001E-3</v>
      </c>
      <c r="J8" s="48">
        <v>6.0000000000000001E-3</v>
      </c>
      <c r="K8" s="48">
        <v>8.0000000000000002E-3</v>
      </c>
      <c r="L8" s="48">
        <v>8.9999999999999993E-3</v>
      </c>
      <c r="M8" s="48">
        <v>0.01</v>
      </c>
      <c r="N8" s="48">
        <v>1.0999999999999999E-2</v>
      </c>
      <c r="O8" s="48">
        <v>1.2999999999999999E-2</v>
      </c>
      <c r="P8" s="48">
        <v>1.4E-2</v>
      </c>
      <c r="Q8" s="48">
        <v>1.6E-2</v>
      </c>
      <c r="R8" s="48">
        <v>1.7999999999999999E-2</v>
      </c>
      <c r="S8" s="48">
        <v>0.02</v>
      </c>
      <c r="W8" s="20" t="s">
        <v>9</v>
      </c>
      <c r="X8" s="20" t="s">
        <v>213</v>
      </c>
      <c r="Y8" s="20" t="s">
        <v>636</v>
      </c>
      <c r="Z8" s="20" t="s">
        <v>527</v>
      </c>
      <c r="AA8" s="20">
        <v>0.16666666666666671</v>
      </c>
      <c r="AB8" s="60">
        <f t="shared" si="2"/>
        <v>3.7999999999999999E-2</v>
      </c>
      <c r="AC8" s="20" t="s">
        <v>637</v>
      </c>
      <c r="AD8" s="20" t="s">
        <v>615</v>
      </c>
      <c r="AE8" s="61">
        <f t="shared" si="0"/>
        <v>0.99380331501421859</v>
      </c>
      <c r="AF8" s="60">
        <f t="shared" si="1"/>
        <v>3.7999999999999999E-2</v>
      </c>
      <c r="AG8" s="20">
        <f t="shared" si="3"/>
        <v>8.3333333333333329E-2</v>
      </c>
      <c r="AH8" s="60">
        <f t="shared" si="4"/>
        <v>3.7837123263945373E-2</v>
      </c>
    </row>
    <row r="9" spans="2:34" x14ac:dyDescent="0.3">
      <c r="B9" s="47" t="s">
        <v>539</v>
      </c>
      <c r="C9" s="47" t="s">
        <v>539</v>
      </c>
      <c r="D9" s="47" t="s">
        <v>540</v>
      </c>
      <c r="E9" s="48">
        <v>3.0000000000000001E-3</v>
      </c>
      <c r="F9" s="48">
        <v>3.2000000000000002E-3</v>
      </c>
      <c r="G9" s="48">
        <v>4.0000000000000001E-3</v>
      </c>
      <c r="H9" s="48">
        <v>4.4999999999999997E-3</v>
      </c>
      <c r="I9" s="48">
        <v>5.0000000000000001E-3</v>
      </c>
      <c r="J9" s="48">
        <v>7.0000000000000001E-3</v>
      </c>
      <c r="K9" s="48">
        <v>0.01</v>
      </c>
      <c r="L9" s="48">
        <v>1.15E-2</v>
      </c>
      <c r="M9" s="48">
        <v>1.2999999999999999E-2</v>
      </c>
      <c r="N9" s="48">
        <v>1.4500000000000001E-2</v>
      </c>
      <c r="O9" s="48">
        <v>1.6E-2</v>
      </c>
      <c r="P9" s="48">
        <v>1.7500000000000002E-2</v>
      </c>
      <c r="Q9" s="48">
        <v>1.9E-2</v>
      </c>
      <c r="R9" s="48">
        <v>2.1000000000000001E-2</v>
      </c>
      <c r="S9" s="48">
        <v>2.3E-2</v>
      </c>
      <c r="W9" s="20" t="s">
        <v>9</v>
      </c>
      <c r="X9" s="20" t="s">
        <v>213</v>
      </c>
      <c r="Y9" s="20" t="s">
        <v>636</v>
      </c>
      <c r="Z9" s="20" t="s">
        <v>528</v>
      </c>
      <c r="AA9" s="20">
        <v>0.25</v>
      </c>
      <c r="AB9" s="60">
        <f t="shared" si="2"/>
        <v>3.85E-2</v>
      </c>
      <c r="AC9" s="20" t="s">
        <v>637</v>
      </c>
      <c r="AD9" s="20" t="s">
        <v>615</v>
      </c>
      <c r="AE9" s="61">
        <f t="shared" si="0"/>
        <v>0.99060011663770087</v>
      </c>
      <c r="AF9" s="60">
        <f t="shared" si="1"/>
        <v>3.85E-2</v>
      </c>
      <c r="AG9" s="20">
        <f t="shared" si="3"/>
        <v>0.16666666666666671</v>
      </c>
      <c r="AH9" s="60">
        <f t="shared" si="4"/>
        <v>3.8803125370789913E-2</v>
      </c>
    </row>
    <row r="10" spans="2:34" x14ac:dyDescent="0.3">
      <c r="B10" s="47" t="s">
        <v>541</v>
      </c>
      <c r="C10" s="47" t="s">
        <v>541</v>
      </c>
      <c r="D10" s="47" t="s">
        <v>542</v>
      </c>
      <c r="E10" s="48">
        <v>5.5E-2</v>
      </c>
      <c r="F10" s="48">
        <v>5.5199999999999999E-2</v>
      </c>
      <c r="G10" s="48">
        <v>5.6000000000000001E-2</v>
      </c>
      <c r="H10" s="48">
        <v>5.7000000000000002E-2</v>
      </c>
      <c r="I10" s="48">
        <v>5.8000000000000003E-2</v>
      </c>
      <c r="J10" s="48">
        <v>0.06</v>
      </c>
      <c r="K10" s="48">
        <v>6.2E-2</v>
      </c>
      <c r="L10" s="48">
        <v>6.3E-2</v>
      </c>
      <c r="M10" s="48">
        <v>6.4000000000000001E-2</v>
      </c>
      <c r="N10" s="48">
        <v>6.5000000000000002E-2</v>
      </c>
      <c r="O10" s="48">
        <v>6.6000000000000003E-2</v>
      </c>
      <c r="P10" s="48">
        <v>6.7000000000000004E-2</v>
      </c>
      <c r="Q10" s="48">
        <v>6.8000000000000005E-2</v>
      </c>
      <c r="R10" s="48">
        <v>6.9000000000000006E-2</v>
      </c>
      <c r="S10" s="48">
        <v>7.0000000000000007E-2</v>
      </c>
      <c r="W10" s="20" t="s">
        <v>9</v>
      </c>
      <c r="X10" s="20" t="s">
        <v>213</v>
      </c>
      <c r="Y10" s="20" t="s">
        <v>636</v>
      </c>
      <c r="Z10" s="20" t="s">
        <v>203</v>
      </c>
      <c r="AA10" s="20">
        <v>0.5</v>
      </c>
      <c r="AB10" s="60">
        <f t="shared" si="2"/>
        <v>0.04</v>
      </c>
      <c r="AC10" s="20" t="s">
        <v>637</v>
      </c>
      <c r="AD10" s="20" t="s">
        <v>615</v>
      </c>
      <c r="AE10" s="61">
        <f t="shared" si="0"/>
        <v>0.98058067569092011</v>
      </c>
      <c r="AF10" s="60">
        <f t="shared" si="1"/>
        <v>0.04</v>
      </c>
      <c r="AG10" s="20">
        <f t="shared" si="3"/>
        <v>0.25</v>
      </c>
      <c r="AH10" s="60">
        <f t="shared" si="4"/>
        <v>4.0871459922340314E-2</v>
      </c>
    </row>
    <row r="11" spans="2:34" x14ac:dyDescent="0.3">
      <c r="B11" s="47" t="s">
        <v>543</v>
      </c>
      <c r="C11" s="47" t="s">
        <v>543</v>
      </c>
      <c r="D11" s="47" t="s">
        <v>544</v>
      </c>
      <c r="E11" s="48">
        <v>3.5000000000000003E-2</v>
      </c>
      <c r="F11" s="48">
        <v>3.5200000000000002E-2</v>
      </c>
      <c r="G11" s="48">
        <v>3.5499999999999997E-2</v>
      </c>
      <c r="H11" s="48">
        <v>3.5799999999999998E-2</v>
      </c>
      <c r="I11" s="48">
        <v>3.5999999999999997E-2</v>
      </c>
      <c r="J11" s="48">
        <v>3.6999999999999998E-2</v>
      </c>
      <c r="K11" s="48">
        <v>3.7999999999999999E-2</v>
      </c>
      <c r="L11" s="48">
        <v>3.85E-2</v>
      </c>
      <c r="M11" s="48">
        <v>3.9E-2</v>
      </c>
      <c r="N11" s="48">
        <v>0.04</v>
      </c>
      <c r="O11" s="48">
        <v>4.1000000000000002E-2</v>
      </c>
      <c r="P11" s="48">
        <v>4.2000000000000003E-2</v>
      </c>
      <c r="Q11" s="48">
        <v>4.2999999999999997E-2</v>
      </c>
      <c r="R11" s="48">
        <v>4.3999999999999997E-2</v>
      </c>
      <c r="S11" s="48">
        <v>4.4999999999999998E-2</v>
      </c>
      <c r="W11" s="20" t="s">
        <v>9</v>
      </c>
      <c r="X11" s="20" t="s">
        <v>213</v>
      </c>
      <c r="Y11" s="20" t="s">
        <v>636</v>
      </c>
      <c r="Z11" s="20" t="s">
        <v>529</v>
      </c>
      <c r="AA11" s="20">
        <v>0.75</v>
      </c>
      <c r="AB11" s="60">
        <f t="shared" si="2"/>
        <v>4.1500000000000002E-2</v>
      </c>
      <c r="AC11" s="20" t="s">
        <v>637</v>
      </c>
      <c r="AD11" s="20" t="s">
        <v>615</v>
      </c>
      <c r="AE11" s="61">
        <f t="shared" si="0"/>
        <v>0.96996384023367577</v>
      </c>
      <c r="AF11" s="60">
        <f t="shared" si="1"/>
        <v>4.1500000000000002E-2</v>
      </c>
      <c r="AG11" s="20">
        <f t="shared" si="3"/>
        <v>0.5</v>
      </c>
      <c r="AH11" s="60">
        <f t="shared" si="4"/>
        <v>4.3782396897132259E-2</v>
      </c>
    </row>
    <row r="12" spans="2:34" x14ac:dyDescent="0.3">
      <c r="B12" s="47" t="s">
        <v>545</v>
      </c>
      <c r="C12" s="47" t="s">
        <v>545</v>
      </c>
      <c r="D12" s="47" t="s">
        <v>546</v>
      </c>
      <c r="E12" s="48">
        <v>2.7E-2</v>
      </c>
      <c r="F12" s="48">
        <v>2.7199999999999998E-2</v>
      </c>
      <c r="G12" s="48">
        <v>2.75E-2</v>
      </c>
      <c r="H12" s="48">
        <v>2.7799999999999998E-2</v>
      </c>
      <c r="I12" s="48">
        <v>2.8000000000000001E-2</v>
      </c>
      <c r="J12" s="48">
        <v>2.9000000000000001E-2</v>
      </c>
      <c r="K12" s="48">
        <v>0.03</v>
      </c>
      <c r="L12" s="48">
        <v>3.1E-2</v>
      </c>
      <c r="M12" s="48">
        <v>3.2000000000000001E-2</v>
      </c>
      <c r="N12" s="48">
        <v>3.3000000000000002E-2</v>
      </c>
      <c r="O12" s="48">
        <v>3.4000000000000002E-2</v>
      </c>
      <c r="P12" s="48">
        <v>3.5000000000000003E-2</v>
      </c>
      <c r="Q12" s="48">
        <v>3.5999999999999997E-2</v>
      </c>
      <c r="R12" s="48">
        <v>3.6999999999999998E-2</v>
      </c>
      <c r="S12" s="48">
        <v>3.7999999999999999E-2</v>
      </c>
      <c r="W12" s="20" t="s">
        <v>9</v>
      </c>
      <c r="X12" s="20" t="s">
        <v>213</v>
      </c>
      <c r="Y12" s="20" t="s">
        <v>636</v>
      </c>
      <c r="Z12" s="20" t="s">
        <v>191</v>
      </c>
      <c r="AA12" s="20">
        <v>1</v>
      </c>
      <c r="AB12" s="60">
        <f t="shared" si="2"/>
        <v>4.2200000000000001E-2</v>
      </c>
      <c r="AC12" s="20" t="s">
        <v>637</v>
      </c>
      <c r="AD12" s="20" t="s">
        <v>615</v>
      </c>
      <c r="AE12" s="61">
        <f t="shared" si="0"/>
        <v>0.95950873152945693</v>
      </c>
      <c r="AF12" s="60">
        <f t="shared" si="1"/>
        <v>4.2200000000000001E-2</v>
      </c>
      <c r="AG12" s="20">
        <f t="shared" si="3"/>
        <v>0.75</v>
      </c>
      <c r="AH12" s="60">
        <f t="shared" si="4"/>
        <v>4.3585257166147251E-2</v>
      </c>
    </row>
    <row r="13" spans="2:34" x14ac:dyDescent="0.3">
      <c r="B13" s="47" t="s">
        <v>547</v>
      </c>
      <c r="C13" s="47" t="s">
        <v>547</v>
      </c>
      <c r="D13" s="47" t="s">
        <v>548</v>
      </c>
      <c r="E13" s="48">
        <v>1.7999999999999999E-2</v>
      </c>
      <c r="F13" s="48">
        <v>1.8200000000000001E-2</v>
      </c>
      <c r="G13" s="48">
        <v>1.8499999999999999E-2</v>
      </c>
      <c r="H13" s="48">
        <v>1.9E-2</v>
      </c>
      <c r="I13" s="48">
        <v>1.95E-2</v>
      </c>
      <c r="J13" s="48">
        <v>2.0500000000000001E-2</v>
      </c>
      <c r="K13" s="48">
        <v>2.1499999999999998E-2</v>
      </c>
      <c r="L13" s="48">
        <v>2.1999999999999999E-2</v>
      </c>
      <c r="M13" s="48">
        <v>2.2499999999999999E-2</v>
      </c>
      <c r="N13" s="48">
        <v>2.3E-2</v>
      </c>
      <c r="O13" s="48">
        <v>2.4E-2</v>
      </c>
      <c r="P13" s="48">
        <v>2.5000000000000001E-2</v>
      </c>
      <c r="Q13" s="48">
        <v>2.5999999999999999E-2</v>
      </c>
      <c r="R13" s="48">
        <v>2.7E-2</v>
      </c>
      <c r="S13" s="48">
        <v>2.8000000000000001E-2</v>
      </c>
      <c r="W13" s="20" t="s">
        <v>9</v>
      </c>
      <c r="X13" s="20" t="s">
        <v>213</v>
      </c>
      <c r="Y13" s="20" t="s">
        <v>636</v>
      </c>
      <c r="Z13" s="20" t="s">
        <v>530</v>
      </c>
      <c r="AA13" s="20">
        <v>1.5</v>
      </c>
      <c r="AB13" s="60">
        <f t="shared" si="2"/>
        <v>4.2999999999999997E-2</v>
      </c>
      <c r="AC13" s="20" t="s">
        <v>637</v>
      </c>
      <c r="AD13" s="20" t="s">
        <v>615</v>
      </c>
      <c r="AE13" s="61">
        <f t="shared" si="0"/>
        <v>0.93880098665802236</v>
      </c>
      <c r="AF13" s="60">
        <f t="shared" si="1"/>
        <v>4.2999999999999997E-2</v>
      </c>
      <c r="AG13" s="20">
        <f t="shared" si="3"/>
        <v>1</v>
      </c>
      <c r="AH13" s="60">
        <f t="shared" si="4"/>
        <v>4.4115302744089924E-2</v>
      </c>
    </row>
    <row r="14" spans="2:34" x14ac:dyDescent="0.3">
      <c r="B14" s="47" t="s">
        <v>549</v>
      </c>
      <c r="C14" s="47" t="s">
        <v>549</v>
      </c>
      <c r="D14" s="47" t="s">
        <v>550</v>
      </c>
      <c r="E14" s="48">
        <v>3.2000000000000001E-2</v>
      </c>
      <c r="F14" s="48">
        <v>3.2199999999999999E-2</v>
      </c>
      <c r="G14" s="48">
        <v>3.2500000000000001E-2</v>
      </c>
      <c r="H14" s="48">
        <v>3.3000000000000002E-2</v>
      </c>
      <c r="I14" s="48">
        <v>3.3500000000000002E-2</v>
      </c>
      <c r="J14" s="48">
        <v>3.4500000000000003E-2</v>
      </c>
      <c r="K14" s="48">
        <v>3.5499999999999997E-2</v>
      </c>
      <c r="L14" s="48">
        <v>3.5999999999999997E-2</v>
      </c>
      <c r="M14" s="48">
        <v>3.6499999999999998E-2</v>
      </c>
      <c r="N14" s="48">
        <v>3.6999999999999998E-2</v>
      </c>
      <c r="O14" s="48">
        <v>3.7999999999999999E-2</v>
      </c>
      <c r="P14" s="48">
        <v>3.9E-2</v>
      </c>
      <c r="Q14" s="48">
        <v>0.04</v>
      </c>
      <c r="R14" s="48">
        <v>4.1000000000000002E-2</v>
      </c>
      <c r="S14" s="48">
        <v>4.2000000000000003E-2</v>
      </c>
      <c r="W14" s="20" t="s">
        <v>9</v>
      </c>
      <c r="X14" s="20" t="s">
        <v>213</v>
      </c>
      <c r="Y14" s="20" t="s">
        <v>636</v>
      </c>
      <c r="Z14" s="20" t="s">
        <v>377</v>
      </c>
      <c r="AA14" s="20">
        <v>2</v>
      </c>
      <c r="AB14" s="60">
        <f t="shared" si="2"/>
        <v>4.3999999999999997E-2</v>
      </c>
      <c r="AC14" s="20" t="s">
        <v>637</v>
      </c>
      <c r="AD14" s="20" t="s">
        <v>615</v>
      </c>
      <c r="AE14" s="61">
        <f t="shared" si="0"/>
        <v>0.91748506334316871</v>
      </c>
      <c r="AF14" s="60">
        <f t="shared" si="1"/>
        <v>4.3999999999999997E-2</v>
      </c>
      <c r="AG14" s="20">
        <f t="shared" si="3"/>
        <v>1.5</v>
      </c>
      <c r="AH14" s="60">
        <f t="shared" si="4"/>
        <v>4.6465984388196713E-2</v>
      </c>
    </row>
    <row r="15" spans="2:34" x14ac:dyDescent="0.3">
      <c r="B15" s="47" t="s">
        <v>551</v>
      </c>
      <c r="C15" s="47" t="s">
        <v>551</v>
      </c>
      <c r="D15" s="47" t="s">
        <v>552</v>
      </c>
      <c r="E15" s="48">
        <v>1.9E-2</v>
      </c>
      <c r="F15" s="48">
        <v>1.9199999999999998E-2</v>
      </c>
      <c r="G15" s="48">
        <v>1.95E-2</v>
      </c>
      <c r="H15" s="48">
        <v>0.02</v>
      </c>
      <c r="I15" s="48">
        <v>2.0500000000000001E-2</v>
      </c>
      <c r="J15" s="48">
        <v>2.1499999999999998E-2</v>
      </c>
      <c r="K15" s="48">
        <v>2.2499999999999999E-2</v>
      </c>
      <c r="L15" s="48">
        <v>2.3E-2</v>
      </c>
      <c r="M15" s="48">
        <v>2.35E-2</v>
      </c>
      <c r="N15" s="48">
        <v>2.4E-2</v>
      </c>
      <c r="O15" s="48">
        <v>2.5000000000000001E-2</v>
      </c>
      <c r="P15" s="48">
        <v>2.5999999999999999E-2</v>
      </c>
      <c r="Q15" s="48">
        <v>2.7E-2</v>
      </c>
      <c r="R15" s="48">
        <v>2.8000000000000001E-2</v>
      </c>
      <c r="S15" s="48">
        <v>2.9000000000000001E-2</v>
      </c>
      <c r="W15" s="20" t="s">
        <v>9</v>
      </c>
      <c r="X15" s="20" t="s">
        <v>213</v>
      </c>
      <c r="Y15" s="20" t="s">
        <v>636</v>
      </c>
      <c r="Z15" s="20" t="s">
        <v>215</v>
      </c>
      <c r="AA15" s="20">
        <v>3</v>
      </c>
      <c r="AB15" s="60">
        <f t="shared" si="2"/>
        <v>4.4999999999999998E-2</v>
      </c>
      <c r="AC15" s="20" t="s">
        <v>637</v>
      </c>
      <c r="AD15" s="20" t="s">
        <v>615</v>
      </c>
      <c r="AE15" s="61">
        <f t="shared" si="0"/>
        <v>0.87629660405490928</v>
      </c>
      <c r="AF15" s="60">
        <f t="shared" si="1"/>
        <v>4.4999999999999998E-2</v>
      </c>
      <c r="AG15" s="20">
        <f t="shared" si="3"/>
        <v>2</v>
      </c>
      <c r="AH15" s="60">
        <f t="shared" si="4"/>
        <v>4.7002874480703172E-2</v>
      </c>
    </row>
    <row r="16" spans="2:34" x14ac:dyDescent="0.3">
      <c r="B16" s="47" t="s">
        <v>553</v>
      </c>
      <c r="C16" s="47" t="s">
        <v>553</v>
      </c>
      <c r="D16" s="47" t="s">
        <v>554</v>
      </c>
      <c r="E16" s="48">
        <v>3.5999999999999997E-2</v>
      </c>
      <c r="F16" s="48">
        <v>3.6200000000000003E-2</v>
      </c>
      <c r="G16" s="48">
        <v>3.6499999999999998E-2</v>
      </c>
      <c r="H16" s="48">
        <v>3.6999999999999998E-2</v>
      </c>
      <c r="I16" s="48">
        <v>3.7499999999999999E-2</v>
      </c>
      <c r="J16" s="48">
        <v>3.85E-2</v>
      </c>
      <c r="K16" s="48">
        <v>3.95E-2</v>
      </c>
      <c r="L16" s="48">
        <v>0.04</v>
      </c>
      <c r="M16" s="48">
        <v>4.0500000000000001E-2</v>
      </c>
      <c r="N16" s="48">
        <v>4.1000000000000002E-2</v>
      </c>
      <c r="O16" s="48">
        <v>4.2000000000000003E-2</v>
      </c>
      <c r="P16" s="48">
        <v>4.2999999999999997E-2</v>
      </c>
      <c r="Q16" s="48">
        <v>4.3999999999999997E-2</v>
      </c>
      <c r="R16" s="48">
        <v>4.4999999999999998E-2</v>
      </c>
      <c r="S16" s="48">
        <v>4.5999999999999999E-2</v>
      </c>
      <c r="W16" s="20" t="s">
        <v>9</v>
      </c>
      <c r="X16" s="20" t="s">
        <v>213</v>
      </c>
      <c r="Y16" s="20" t="s">
        <v>636</v>
      </c>
      <c r="Z16" s="20" t="s">
        <v>284</v>
      </c>
      <c r="AA16" s="20">
        <v>5</v>
      </c>
      <c r="AB16" s="60">
        <f t="shared" si="2"/>
        <v>4.5499999999999999E-2</v>
      </c>
      <c r="AC16" s="20" t="s">
        <v>637</v>
      </c>
      <c r="AD16" s="20" t="s">
        <v>615</v>
      </c>
      <c r="AE16" s="61">
        <f t="shared" si="0"/>
        <v>0.80053405968821079</v>
      </c>
      <c r="AF16" s="60">
        <f t="shared" si="1"/>
        <v>4.5499999999999999E-2</v>
      </c>
      <c r="AG16" s="20">
        <f t="shared" si="3"/>
        <v>3</v>
      </c>
      <c r="AH16" s="60">
        <f t="shared" si="4"/>
        <v>4.7320000598229495E-2</v>
      </c>
    </row>
    <row r="17" spans="2:34" x14ac:dyDescent="0.3">
      <c r="B17" s="47" t="s">
        <v>555</v>
      </c>
      <c r="C17" s="47" t="s">
        <v>555</v>
      </c>
      <c r="D17" s="47" t="s">
        <v>556</v>
      </c>
      <c r="E17" s="48">
        <v>3.5000000000000003E-2</v>
      </c>
      <c r="F17" s="48">
        <v>3.5200000000000002E-2</v>
      </c>
      <c r="G17" s="48">
        <v>3.5499999999999997E-2</v>
      </c>
      <c r="H17" s="48">
        <v>3.5999999999999997E-2</v>
      </c>
      <c r="I17" s="48">
        <v>3.6499999999999998E-2</v>
      </c>
      <c r="J17" s="48">
        <v>3.7499999999999999E-2</v>
      </c>
      <c r="K17" s="48">
        <v>3.85E-2</v>
      </c>
      <c r="L17" s="48">
        <v>3.9E-2</v>
      </c>
      <c r="M17" s="48">
        <v>3.95E-2</v>
      </c>
      <c r="N17" s="48">
        <v>0.04</v>
      </c>
      <c r="O17" s="48">
        <v>4.1000000000000002E-2</v>
      </c>
      <c r="P17" s="48">
        <v>4.2000000000000003E-2</v>
      </c>
      <c r="Q17" s="48">
        <v>4.2999999999999997E-2</v>
      </c>
      <c r="R17" s="48">
        <v>4.3999999999999997E-2</v>
      </c>
      <c r="S17" s="48">
        <v>4.4999999999999998E-2</v>
      </c>
      <c r="W17" s="20" t="s">
        <v>9</v>
      </c>
      <c r="X17" s="20" t="s">
        <v>213</v>
      </c>
      <c r="Y17" s="20" t="s">
        <v>636</v>
      </c>
      <c r="Z17" s="20" t="s">
        <v>531</v>
      </c>
      <c r="AA17" s="20">
        <v>7</v>
      </c>
      <c r="AB17" s="60">
        <f t="shared" si="2"/>
        <v>4.5999999999999999E-2</v>
      </c>
      <c r="AC17" s="20" t="s">
        <v>637</v>
      </c>
      <c r="AD17" s="20" t="s">
        <v>615</v>
      </c>
      <c r="AE17" s="61">
        <f t="shared" si="0"/>
        <v>0.72992494915685424</v>
      </c>
      <c r="AF17" s="60">
        <f t="shared" si="1"/>
        <v>4.5999999999999999E-2</v>
      </c>
      <c r="AG17" s="20">
        <f t="shared" si="3"/>
        <v>5</v>
      </c>
      <c r="AH17" s="60">
        <f t="shared" si="4"/>
        <v>4.8367377093301189E-2</v>
      </c>
    </row>
    <row r="18" spans="2:34" x14ac:dyDescent="0.3">
      <c r="B18" s="47" t="s">
        <v>557</v>
      </c>
      <c r="C18" s="47" t="s">
        <v>557</v>
      </c>
      <c r="D18" s="47" t="s">
        <v>558</v>
      </c>
      <c r="E18" s="48">
        <v>2.4E-2</v>
      </c>
      <c r="F18" s="48">
        <v>2.4199999999999999E-2</v>
      </c>
      <c r="G18" s="48">
        <v>2.4500000000000001E-2</v>
      </c>
      <c r="H18" s="48">
        <v>2.5000000000000001E-2</v>
      </c>
      <c r="I18" s="48">
        <v>2.5499999999999998E-2</v>
      </c>
      <c r="J18" s="48">
        <v>2.6499999999999999E-2</v>
      </c>
      <c r="K18" s="48">
        <v>2.75E-2</v>
      </c>
      <c r="L18" s="48">
        <v>2.8000000000000001E-2</v>
      </c>
      <c r="M18" s="48">
        <v>2.8500000000000001E-2</v>
      </c>
      <c r="N18" s="48">
        <v>2.9000000000000001E-2</v>
      </c>
      <c r="O18" s="48">
        <v>0.03</v>
      </c>
      <c r="P18" s="48">
        <v>3.1E-2</v>
      </c>
      <c r="Q18" s="48">
        <v>3.2000000000000001E-2</v>
      </c>
      <c r="R18" s="48">
        <v>3.3000000000000002E-2</v>
      </c>
      <c r="S18" s="48">
        <v>3.4000000000000002E-2</v>
      </c>
      <c r="W18" s="20" t="s">
        <v>9</v>
      </c>
      <c r="X18" s="20" t="s">
        <v>213</v>
      </c>
      <c r="Y18" s="20" t="s">
        <v>636</v>
      </c>
      <c r="Z18" s="20" t="s">
        <v>532</v>
      </c>
      <c r="AA18" s="20">
        <v>10</v>
      </c>
      <c r="AB18" s="60">
        <f t="shared" si="2"/>
        <v>4.65E-2</v>
      </c>
      <c r="AC18" s="20" t="s">
        <v>637</v>
      </c>
      <c r="AD18" s="20" t="s">
        <v>615</v>
      </c>
      <c r="AE18" s="61">
        <f t="shared" si="0"/>
        <v>0.63475725482656087</v>
      </c>
      <c r="AF18" s="60">
        <f t="shared" si="1"/>
        <v>4.65E-2</v>
      </c>
      <c r="AG18" s="20">
        <f t="shared" si="3"/>
        <v>7</v>
      </c>
      <c r="AH18" s="60">
        <f t="shared" si="4"/>
        <v>4.9975899504184872E-2</v>
      </c>
    </row>
    <row r="19" spans="2:34" x14ac:dyDescent="0.3">
      <c r="B19" s="47" t="s">
        <v>559</v>
      </c>
      <c r="C19" s="47" t="s">
        <v>559</v>
      </c>
      <c r="D19" s="47" t="s">
        <v>560</v>
      </c>
      <c r="E19" s="48">
        <v>1.6E-2</v>
      </c>
      <c r="F19" s="48">
        <v>1.6199999999999999E-2</v>
      </c>
      <c r="G19" s="48">
        <v>1.6500000000000001E-2</v>
      </c>
      <c r="H19" s="48">
        <v>1.7000000000000001E-2</v>
      </c>
      <c r="I19" s="48">
        <v>1.7500000000000002E-2</v>
      </c>
      <c r="J19" s="48">
        <v>1.8499999999999999E-2</v>
      </c>
      <c r="K19" s="48">
        <v>1.95E-2</v>
      </c>
      <c r="L19" s="48">
        <v>0.02</v>
      </c>
      <c r="M19" s="48">
        <v>2.0500000000000001E-2</v>
      </c>
      <c r="N19" s="48">
        <v>2.1000000000000001E-2</v>
      </c>
      <c r="O19" s="48">
        <v>2.1999999999999999E-2</v>
      </c>
      <c r="P19" s="48">
        <v>2.3E-2</v>
      </c>
      <c r="Q19" s="48">
        <v>2.4E-2</v>
      </c>
      <c r="R19" s="48">
        <v>2.5000000000000001E-2</v>
      </c>
      <c r="S19" s="48">
        <v>2.5999999999999999E-2</v>
      </c>
      <c r="W19" s="20" t="s">
        <v>9</v>
      </c>
      <c r="X19" s="20" t="s">
        <v>213</v>
      </c>
      <c r="Y19" s="20" t="s">
        <v>636</v>
      </c>
      <c r="Z19" s="20" t="s">
        <v>533</v>
      </c>
      <c r="AA19" s="20">
        <v>20</v>
      </c>
      <c r="AB19" s="60">
        <f t="shared" si="2"/>
        <v>4.7E-2</v>
      </c>
      <c r="AC19" s="20" t="s">
        <v>637</v>
      </c>
      <c r="AD19" s="20" t="s">
        <v>615</v>
      </c>
      <c r="AE19" s="61">
        <f t="shared" si="0"/>
        <v>0.39908588374719184</v>
      </c>
      <c r="AF19" s="60">
        <f t="shared" si="1"/>
        <v>4.7E-2</v>
      </c>
      <c r="AG19" s="20">
        <f t="shared" si="3"/>
        <v>10</v>
      </c>
      <c r="AH19" s="60">
        <f t="shared" si="4"/>
        <v>5.9052795570353811E-2</v>
      </c>
    </row>
    <row r="20" spans="2:34" x14ac:dyDescent="0.3">
      <c r="B20" s="47" t="s">
        <v>561</v>
      </c>
      <c r="C20" s="47" t="s">
        <v>561</v>
      </c>
      <c r="D20" s="47" t="s">
        <v>562</v>
      </c>
      <c r="E20" s="48">
        <v>2.8000000000000001E-2</v>
      </c>
      <c r="F20" s="48">
        <v>2.8199999999999999E-2</v>
      </c>
      <c r="G20" s="48">
        <v>2.8500000000000001E-2</v>
      </c>
      <c r="H20" s="48">
        <v>2.9000000000000001E-2</v>
      </c>
      <c r="I20" s="48">
        <v>2.9499999999999998E-2</v>
      </c>
      <c r="J20" s="48">
        <v>3.0499999999999999E-2</v>
      </c>
      <c r="K20" s="48">
        <v>3.15E-2</v>
      </c>
      <c r="L20" s="48">
        <v>3.2000000000000001E-2</v>
      </c>
      <c r="M20" s="48">
        <v>3.2500000000000001E-2</v>
      </c>
      <c r="N20" s="48">
        <v>3.3000000000000002E-2</v>
      </c>
      <c r="O20" s="48">
        <v>3.4000000000000002E-2</v>
      </c>
      <c r="P20" s="48">
        <v>3.5000000000000003E-2</v>
      </c>
      <c r="Q20" s="48">
        <v>3.5999999999999997E-2</v>
      </c>
      <c r="R20" s="48">
        <v>3.6999999999999998E-2</v>
      </c>
      <c r="S20" s="48">
        <v>3.7999999999999999E-2</v>
      </c>
    </row>
    <row r="21" spans="2:34" x14ac:dyDescent="0.3">
      <c r="B21" s="47" t="s">
        <v>563</v>
      </c>
      <c r="C21" s="47" t="s">
        <v>563</v>
      </c>
      <c r="D21" s="47" t="s">
        <v>564</v>
      </c>
      <c r="E21" s="48">
        <v>7.4999999999999997E-2</v>
      </c>
      <c r="F21" s="48">
        <v>7.5200000000000003E-2</v>
      </c>
      <c r="G21" s="48">
        <v>7.5499999999999998E-2</v>
      </c>
      <c r="H21" s="48">
        <v>7.5999999999999998E-2</v>
      </c>
      <c r="I21" s="48">
        <v>7.6499999999999999E-2</v>
      </c>
      <c r="J21" s="48">
        <v>7.7499999999999999E-2</v>
      </c>
      <c r="K21" s="48">
        <v>7.85E-2</v>
      </c>
      <c r="L21" s="48">
        <v>7.9000000000000001E-2</v>
      </c>
      <c r="M21" s="48">
        <v>7.9500000000000001E-2</v>
      </c>
      <c r="N21" s="48">
        <v>0.08</v>
      </c>
      <c r="O21" s="48">
        <v>8.1000000000000003E-2</v>
      </c>
      <c r="P21" s="48">
        <v>8.2000000000000003E-2</v>
      </c>
      <c r="Q21" s="48">
        <v>8.3000000000000004E-2</v>
      </c>
      <c r="R21" s="48">
        <v>8.4000000000000005E-2</v>
      </c>
      <c r="S21" s="48">
        <v>8.5000000000000006E-2</v>
      </c>
    </row>
    <row r="22" spans="2:34" ht="15.6" x14ac:dyDescent="0.3">
      <c r="B22" s="47" t="s">
        <v>565</v>
      </c>
      <c r="C22" s="47" t="s">
        <v>565</v>
      </c>
      <c r="D22" s="47" t="s">
        <v>566</v>
      </c>
      <c r="E22" s="48">
        <v>0.1</v>
      </c>
      <c r="F22" s="48">
        <v>0.1002</v>
      </c>
      <c r="G22" s="48">
        <v>0.10050000000000001</v>
      </c>
      <c r="H22" s="48">
        <v>0.10100000000000001</v>
      </c>
      <c r="I22" s="48">
        <v>0.10150000000000001</v>
      </c>
      <c r="J22" s="48">
        <v>0.10249999999999999</v>
      </c>
      <c r="K22" s="48">
        <v>0.10349999999999999</v>
      </c>
      <c r="L22" s="48">
        <v>0.104</v>
      </c>
      <c r="M22" s="48">
        <v>0.1045</v>
      </c>
      <c r="N22" s="48">
        <v>0.105</v>
      </c>
      <c r="O22" s="48">
        <v>0.106</v>
      </c>
      <c r="P22" s="48">
        <v>0.107</v>
      </c>
      <c r="Q22" s="48">
        <v>0.108</v>
      </c>
      <c r="R22" s="48">
        <v>0.109</v>
      </c>
      <c r="S22" s="48">
        <v>0.11</v>
      </c>
      <c r="W22" s="58" t="s">
        <v>638</v>
      </c>
      <c r="X22" s="56"/>
      <c r="Y22" s="56"/>
      <c r="Z22" s="56"/>
    </row>
    <row r="23" spans="2:34" x14ac:dyDescent="0.3">
      <c r="B23" s="47" t="s">
        <v>567</v>
      </c>
      <c r="C23" s="47" t="s">
        <v>567</v>
      </c>
      <c r="D23" s="47" t="s">
        <v>568</v>
      </c>
      <c r="E23" s="48">
        <v>7.0000000000000007E-2</v>
      </c>
      <c r="F23" s="48">
        <v>7.0199999999999999E-2</v>
      </c>
      <c r="G23" s="48">
        <v>7.0499999999999993E-2</v>
      </c>
      <c r="H23" s="48">
        <v>7.0999999999999994E-2</v>
      </c>
      <c r="I23" s="48">
        <v>7.1499999999999994E-2</v>
      </c>
      <c r="J23" s="48">
        <v>7.2499999999999995E-2</v>
      </c>
      <c r="K23" s="48">
        <v>7.3499999999999996E-2</v>
      </c>
      <c r="L23" s="48">
        <v>7.3999999999999996E-2</v>
      </c>
      <c r="M23" s="48">
        <v>7.4499999999999997E-2</v>
      </c>
      <c r="N23" s="48">
        <v>7.4999999999999997E-2</v>
      </c>
      <c r="O23" s="48">
        <v>7.5999999999999998E-2</v>
      </c>
      <c r="P23" s="48">
        <v>7.6999999999999999E-2</v>
      </c>
      <c r="Q23" s="48">
        <v>7.8E-2</v>
      </c>
      <c r="R23" s="48">
        <v>7.9000000000000001E-2</v>
      </c>
      <c r="S23" s="48">
        <v>0.08</v>
      </c>
      <c r="W23" s="54" t="s">
        <v>639</v>
      </c>
      <c r="X23" s="57" t="s">
        <v>640</v>
      </c>
      <c r="Y23" s="57"/>
      <c r="Z23" s="57"/>
    </row>
    <row r="24" spans="2:34" x14ac:dyDescent="0.3">
      <c r="B24" s="47" t="s">
        <v>569</v>
      </c>
      <c r="C24" s="47" t="s">
        <v>569</v>
      </c>
      <c r="D24" s="47" t="s">
        <v>570</v>
      </c>
      <c r="E24" s="48">
        <v>0.04</v>
      </c>
      <c r="F24" s="48">
        <v>4.02E-2</v>
      </c>
      <c r="G24" s="48">
        <v>4.0500000000000001E-2</v>
      </c>
      <c r="H24" s="48">
        <v>4.1000000000000002E-2</v>
      </c>
      <c r="I24" s="48">
        <v>4.1500000000000002E-2</v>
      </c>
      <c r="J24" s="48">
        <v>4.2500000000000003E-2</v>
      </c>
      <c r="K24" s="48">
        <v>4.3499999999999997E-2</v>
      </c>
      <c r="L24" s="48">
        <v>4.3999999999999997E-2</v>
      </c>
      <c r="M24" s="48">
        <v>4.4499999999999998E-2</v>
      </c>
      <c r="N24" s="48">
        <v>4.4999999999999998E-2</v>
      </c>
      <c r="O24" s="48">
        <v>4.5999999999999999E-2</v>
      </c>
      <c r="P24" s="48">
        <v>4.7E-2</v>
      </c>
      <c r="Q24" s="48">
        <v>4.8000000000000001E-2</v>
      </c>
      <c r="R24" s="48">
        <v>4.9000000000000002E-2</v>
      </c>
      <c r="S24" s="48">
        <v>0.05</v>
      </c>
      <c r="W24" s="54" t="s">
        <v>641</v>
      </c>
      <c r="X24" s="57" t="s">
        <v>642</v>
      </c>
      <c r="Y24" s="57"/>
      <c r="Z24" s="57"/>
    </row>
    <row r="25" spans="2:34" x14ac:dyDescent="0.3">
      <c r="W25" s="54" t="s">
        <v>643</v>
      </c>
      <c r="X25" s="57" t="s">
        <v>213</v>
      </c>
      <c r="Y25" s="57"/>
      <c r="Z25" s="57"/>
    </row>
    <row r="26" spans="2:34" x14ac:dyDescent="0.3">
      <c r="W26" s="54" t="s">
        <v>644</v>
      </c>
      <c r="X26" s="57" t="s">
        <v>214</v>
      </c>
      <c r="Y26" s="57"/>
      <c r="Z26" s="57"/>
    </row>
    <row r="27" spans="2:34" x14ac:dyDescent="0.3">
      <c r="W27" s="54" t="s">
        <v>630</v>
      </c>
      <c r="X27" s="57" t="s">
        <v>637</v>
      </c>
      <c r="Y27" s="57"/>
      <c r="Z27" s="57"/>
    </row>
    <row r="28" spans="2:34" x14ac:dyDescent="0.3">
      <c r="W28" s="54" t="s">
        <v>645</v>
      </c>
      <c r="X28" s="57" t="s">
        <v>646</v>
      </c>
      <c r="Y28" s="57"/>
      <c r="Z28" s="57"/>
    </row>
    <row r="29" spans="2:34" ht="57.6" x14ac:dyDescent="0.3">
      <c r="B29" s="51" t="s">
        <v>154</v>
      </c>
      <c r="C29" s="51" t="s">
        <v>608</v>
      </c>
      <c r="D29" s="51" t="s">
        <v>649</v>
      </c>
      <c r="E29" s="51" t="s">
        <v>132</v>
      </c>
      <c r="F29" s="51" t="s">
        <v>609</v>
      </c>
      <c r="G29" s="51" t="s">
        <v>133</v>
      </c>
      <c r="H29" s="51" t="s">
        <v>650</v>
      </c>
      <c r="I29" s="51" t="s">
        <v>651</v>
      </c>
      <c r="J29" s="51" t="s">
        <v>652</v>
      </c>
      <c r="K29" s="51" t="s">
        <v>653</v>
      </c>
      <c r="L29" s="51" t="s">
        <v>654</v>
      </c>
      <c r="M29" s="51" t="s">
        <v>655</v>
      </c>
      <c r="N29" s="51" t="s">
        <v>656</v>
      </c>
      <c r="O29" s="51" t="s">
        <v>657</v>
      </c>
      <c r="P29" s="51" t="s">
        <v>596</v>
      </c>
      <c r="Q29" s="51" t="s">
        <v>658</v>
      </c>
      <c r="R29" s="51" t="s">
        <v>659</v>
      </c>
      <c r="W29" s="54" t="s">
        <v>122</v>
      </c>
      <c r="X29" s="57" t="s">
        <v>388</v>
      </c>
      <c r="Y29" s="57"/>
      <c r="Z29" s="57"/>
    </row>
    <row r="30" spans="2:34" ht="43.2" x14ac:dyDescent="0.3">
      <c r="B30" s="52" t="s">
        <v>660</v>
      </c>
      <c r="C30" s="52" t="s">
        <v>661</v>
      </c>
      <c r="D30" s="52" t="s">
        <v>662</v>
      </c>
      <c r="E30" s="52"/>
      <c r="F30" s="52" t="s">
        <v>663</v>
      </c>
      <c r="G30" s="52" t="s">
        <v>664</v>
      </c>
      <c r="H30" s="53">
        <v>0.4</v>
      </c>
      <c r="I30" s="52"/>
      <c r="J30" s="52"/>
      <c r="K30" s="52"/>
      <c r="L30" s="52"/>
      <c r="M30" s="52"/>
      <c r="N30" s="52"/>
      <c r="O30" s="52" t="s">
        <v>665</v>
      </c>
      <c r="P30" s="52"/>
      <c r="Q30" s="52" t="s">
        <v>637</v>
      </c>
      <c r="R30" s="53"/>
      <c r="W30" s="54" t="s">
        <v>647</v>
      </c>
      <c r="X30" s="57" t="s">
        <v>648</v>
      </c>
      <c r="Y30" s="57"/>
      <c r="Z30" s="57"/>
    </row>
    <row r="31" spans="2:34" ht="43.2" x14ac:dyDescent="0.3">
      <c r="B31" s="52" t="s">
        <v>666</v>
      </c>
      <c r="C31" s="52" t="s">
        <v>661</v>
      </c>
      <c r="D31" s="52" t="s">
        <v>667</v>
      </c>
      <c r="E31" s="52"/>
      <c r="F31" s="52" t="s">
        <v>668</v>
      </c>
      <c r="G31" s="52" t="s">
        <v>664</v>
      </c>
      <c r="H31" s="53">
        <v>0.4</v>
      </c>
      <c r="I31" s="52"/>
      <c r="J31" s="52"/>
      <c r="K31" s="52"/>
      <c r="L31" s="52"/>
      <c r="M31" s="52"/>
      <c r="N31" s="52"/>
      <c r="O31" s="52" t="s">
        <v>665</v>
      </c>
      <c r="P31" s="52"/>
      <c r="Q31" s="52" t="s">
        <v>637</v>
      </c>
      <c r="R31" s="53"/>
      <c r="W31" s="57"/>
      <c r="X31" s="57"/>
      <c r="Y31" s="57"/>
      <c r="Z31" s="57"/>
    </row>
    <row r="32" spans="2:34" ht="43.2" x14ac:dyDescent="0.3">
      <c r="B32" s="52" t="s">
        <v>669</v>
      </c>
      <c r="C32" s="52" t="s">
        <v>661</v>
      </c>
      <c r="D32" s="52" t="s">
        <v>670</v>
      </c>
      <c r="E32" s="52"/>
      <c r="F32" s="52" t="s">
        <v>315</v>
      </c>
      <c r="G32" s="52" t="s">
        <v>664</v>
      </c>
      <c r="H32" s="53">
        <v>0.4</v>
      </c>
      <c r="I32" s="52"/>
      <c r="J32" s="52"/>
      <c r="K32" s="52"/>
      <c r="L32" s="52"/>
      <c r="M32" s="52"/>
      <c r="N32" s="52"/>
      <c r="O32" s="52" t="s">
        <v>665</v>
      </c>
      <c r="P32" s="52"/>
      <c r="Q32" s="52" t="s">
        <v>637</v>
      </c>
      <c r="R32" s="53"/>
    </row>
    <row r="33" spans="2:18" ht="28.8" x14ac:dyDescent="0.3">
      <c r="B33" s="52" t="s">
        <v>671</v>
      </c>
      <c r="C33" s="52" t="s">
        <v>672</v>
      </c>
      <c r="D33" s="52" t="s">
        <v>673</v>
      </c>
      <c r="E33" s="52"/>
      <c r="F33" s="52" t="s">
        <v>674</v>
      </c>
      <c r="G33" s="52" t="s">
        <v>675</v>
      </c>
      <c r="H33" s="53">
        <v>0.4</v>
      </c>
      <c r="I33" s="52"/>
      <c r="J33" s="52"/>
      <c r="K33" s="52"/>
      <c r="L33" s="52"/>
      <c r="M33" s="52"/>
      <c r="N33" s="52"/>
      <c r="O33" s="52" t="s">
        <v>671</v>
      </c>
      <c r="P33" s="52"/>
      <c r="Q33" s="52" t="s">
        <v>637</v>
      </c>
      <c r="R33" s="53"/>
    </row>
    <row r="34" spans="2:18" ht="28.8" x14ac:dyDescent="0.3">
      <c r="B34" s="52" t="s">
        <v>676</v>
      </c>
      <c r="C34" s="52" t="s">
        <v>672</v>
      </c>
      <c r="D34" s="52" t="s">
        <v>673</v>
      </c>
      <c r="E34" s="52"/>
      <c r="F34" s="52" t="s">
        <v>674</v>
      </c>
      <c r="G34" s="52" t="s">
        <v>675</v>
      </c>
      <c r="H34" s="53">
        <v>0.4</v>
      </c>
      <c r="I34" s="52"/>
      <c r="J34" s="52"/>
      <c r="K34" s="52"/>
      <c r="L34" s="52"/>
      <c r="M34" s="52"/>
      <c r="N34" s="52"/>
      <c r="O34" s="52" t="s">
        <v>676</v>
      </c>
      <c r="P34" s="52"/>
      <c r="Q34" s="52" t="s">
        <v>637</v>
      </c>
      <c r="R34" s="53"/>
    </row>
    <row r="37" spans="2:18" x14ac:dyDescent="0.3">
      <c r="B37" s="54" t="s">
        <v>677</v>
      </c>
      <c r="C37" s="55" t="s">
        <v>678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</row>
    <row r="38" spans="2:18" x14ac:dyDescent="0.3">
      <c r="B38" s="54" t="s">
        <v>679</v>
      </c>
      <c r="C38" s="55" t="s">
        <v>680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</row>
    <row r="39" spans="2:18" x14ac:dyDescent="0.3">
      <c r="B39" s="54" t="s">
        <v>681</v>
      </c>
      <c r="C39" s="55" t="s">
        <v>682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</row>
    <row r="40" spans="2:18" x14ac:dyDescent="0.3"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</row>
  </sheetData>
  <mergeCells count="5">
    <mergeCell ref="C38:R38"/>
    <mergeCell ref="C39:R39"/>
    <mergeCell ref="W2:AH2"/>
    <mergeCell ref="W22:Z22"/>
    <mergeCell ref="C37:R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994A-4CE1-4B80-BCB8-B458931D6A3B}">
  <sheetPr>
    <tabColor theme="5" tint="-0.249977111117893"/>
  </sheetPr>
  <dimension ref="B4:AG43"/>
  <sheetViews>
    <sheetView showGridLines="0" workbookViewId="0">
      <selection activeCell="F4" sqref="F4"/>
    </sheetView>
  </sheetViews>
  <sheetFormatPr defaultRowHeight="14.4" x14ac:dyDescent="0.3"/>
  <cols>
    <col min="2" max="2" width="26.77734375" customWidth="1"/>
    <col min="3" max="3" width="12.5546875" customWidth="1"/>
    <col min="4" max="4" width="15.6640625" bestFit="1" customWidth="1"/>
    <col min="8" max="8" width="13.33203125" bestFit="1" customWidth="1"/>
    <col min="9" max="9" width="14.5546875" bestFit="1" customWidth="1"/>
    <col min="10" max="10" width="16.77734375" customWidth="1"/>
    <col min="13" max="13" width="21.6640625" bestFit="1" customWidth="1"/>
    <col min="14" max="14" width="18.5546875" bestFit="1" customWidth="1"/>
    <col min="15" max="15" width="12.5546875" bestFit="1" customWidth="1"/>
    <col min="18" max="18" width="16.88671875" bestFit="1" customWidth="1"/>
    <col min="19" max="19" width="36.33203125" bestFit="1" customWidth="1"/>
    <col min="20" max="20" width="4.88671875" bestFit="1" customWidth="1"/>
    <col min="21" max="21" width="11.6640625" customWidth="1"/>
    <col min="22" max="22" width="12.44140625" bestFit="1" customWidth="1"/>
    <col min="23" max="23" width="12" bestFit="1" customWidth="1"/>
    <col min="24" max="24" width="16.44140625" bestFit="1" customWidth="1"/>
    <col min="25" max="25" width="8.5546875" bestFit="1" customWidth="1"/>
    <col min="26" max="26" width="13.77734375" bestFit="1" customWidth="1"/>
    <col min="27" max="27" width="9" bestFit="1" customWidth="1"/>
  </cols>
  <sheetData>
    <row r="4" spans="2:33" ht="28.8" x14ac:dyDescent="0.3">
      <c r="B4" s="62" t="s">
        <v>746</v>
      </c>
      <c r="C4" s="63" t="s">
        <v>747</v>
      </c>
      <c r="D4" s="63" t="s">
        <v>748</v>
      </c>
      <c r="H4" s="62" t="s">
        <v>746</v>
      </c>
      <c r="I4" s="63" t="s">
        <v>747</v>
      </c>
      <c r="J4" s="63" t="s">
        <v>748</v>
      </c>
    </row>
    <row r="5" spans="2:33" x14ac:dyDescent="0.3">
      <c r="B5" s="50" t="s">
        <v>749</v>
      </c>
      <c r="C5" s="64">
        <f>C14</f>
        <v>5000</v>
      </c>
      <c r="D5" s="63">
        <v>172.67109400000001</v>
      </c>
      <c r="H5" s="50" t="s">
        <v>749</v>
      </c>
      <c r="I5" s="64">
        <f>D14</f>
        <v>5250</v>
      </c>
      <c r="J5" s="63">
        <v>172.67109400000001</v>
      </c>
    </row>
    <row r="6" spans="2:33" x14ac:dyDescent="0.3">
      <c r="B6" s="50" t="s">
        <v>750</v>
      </c>
      <c r="C6" s="65">
        <f>C5*(1+1.5%)</f>
        <v>5074.9999999999991</v>
      </c>
      <c r="D6" s="63">
        <v>29.777016</v>
      </c>
      <c r="H6" s="50" t="s">
        <v>750</v>
      </c>
      <c r="I6" s="65">
        <f>I5*(1+1.5%)</f>
        <v>5328.7499999999991</v>
      </c>
      <c r="J6" s="63">
        <v>29.777016</v>
      </c>
    </row>
    <row r="7" spans="2:33" x14ac:dyDescent="0.3">
      <c r="B7" s="50" t="s">
        <v>751</v>
      </c>
      <c r="C7" s="65">
        <f>C5*(1-15%)</f>
        <v>4250</v>
      </c>
      <c r="D7" s="63">
        <v>605.34413600000005</v>
      </c>
      <c r="H7" s="50" t="s">
        <v>751</v>
      </c>
      <c r="I7" s="65">
        <f>I5*(1-15%)</f>
        <v>4462.5</v>
      </c>
      <c r="J7" s="63">
        <v>605.34413600000005</v>
      </c>
    </row>
    <row r="10" spans="2:33" x14ac:dyDescent="0.3">
      <c r="B10" s="33" t="s">
        <v>574</v>
      </c>
      <c r="C10" s="33"/>
      <c r="D10" s="33"/>
      <c r="E10" s="33"/>
      <c r="H10" s="69" t="s">
        <v>690</v>
      </c>
      <c r="I10" s="70"/>
      <c r="J10" s="71"/>
      <c r="M10" s="69" t="s">
        <v>697</v>
      </c>
      <c r="N10" s="70"/>
      <c r="O10" s="71"/>
      <c r="R10" s="20" t="s">
        <v>723</v>
      </c>
      <c r="S10" s="20"/>
    </row>
    <row r="11" spans="2:33" x14ac:dyDescent="0.3">
      <c r="B11" s="20"/>
      <c r="C11" s="20"/>
      <c r="D11" s="20"/>
      <c r="E11" s="20"/>
      <c r="H11" s="20"/>
      <c r="I11" s="20"/>
      <c r="J11" s="20"/>
      <c r="M11" s="20"/>
      <c r="N11" s="20"/>
      <c r="O11" s="20"/>
      <c r="R11" s="20"/>
      <c r="S11" s="20"/>
    </row>
    <row r="12" spans="2:33" x14ac:dyDescent="0.3">
      <c r="B12" s="20" t="s">
        <v>575</v>
      </c>
      <c r="C12" s="12" t="s">
        <v>585</v>
      </c>
      <c r="D12" s="12" t="s">
        <v>586</v>
      </c>
      <c r="E12" s="20"/>
      <c r="H12" s="20" t="s">
        <v>575</v>
      </c>
      <c r="I12" s="20" t="str">
        <f>C12</f>
        <v>Trade 1</v>
      </c>
      <c r="J12" s="20" t="str">
        <f>D12</f>
        <v>Trade 2</v>
      </c>
      <c r="M12" s="20" t="s">
        <v>575</v>
      </c>
      <c r="N12" s="20" t="str">
        <f>I12</f>
        <v>Trade 1</v>
      </c>
      <c r="O12" s="20" t="str">
        <f>J12</f>
        <v>Trade 2</v>
      </c>
      <c r="R12" s="20" t="s">
        <v>575</v>
      </c>
      <c r="S12" s="20" t="str">
        <f>N12</f>
        <v>Trade 1</v>
      </c>
      <c r="V12" s="23" t="s">
        <v>734</v>
      </c>
      <c r="W12" s="24" t="s">
        <v>735</v>
      </c>
      <c r="X12" s="24" t="s">
        <v>736</v>
      </c>
      <c r="Y12" s="24" t="s">
        <v>737</v>
      </c>
      <c r="Z12" s="24" t="s">
        <v>738</v>
      </c>
      <c r="AA12" s="23" t="s">
        <v>752</v>
      </c>
      <c r="AB12" s="24" t="s">
        <v>733</v>
      </c>
      <c r="AC12" s="24" t="s">
        <v>730</v>
      </c>
      <c r="AD12" s="24" t="s">
        <v>739</v>
      </c>
      <c r="AE12" s="24" t="s">
        <v>740</v>
      </c>
      <c r="AF12" s="24" t="s">
        <v>632</v>
      </c>
      <c r="AG12" s="24" t="s">
        <v>741</v>
      </c>
    </row>
    <row r="13" spans="2:33" x14ac:dyDescent="0.3">
      <c r="B13" s="20" t="s">
        <v>508</v>
      </c>
      <c r="C13" s="12" t="str">
        <f>'Equity Class Product'!B5</f>
        <v>TRD-2026-002</v>
      </c>
      <c r="D13" s="12" t="str">
        <f>'Equity Class Product'!B6</f>
        <v>TRD-2026-003</v>
      </c>
      <c r="E13" s="20"/>
      <c r="H13" s="20" t="s">
        <v>508</v>
      </c>
      <c r="I13" s="20" t="str">
        <f t="shared" ref="I13:I20" si="0">C13</f>
        <v>TRD-2026-002</v>
      </c>
      <c r="J13" s="20" t="str">
        <f t="shared" ref="J13:J20" si="1">D13</f>
        <v>TRD-2026-003</v>
      </c>
      <c r="M13" s="20" t="s">
        <v>508</v>
      </c>
      <c r="N13" s="20" t="str">
        <f t="shared" ref="N13:N18" si="2">I13</f>
        <v>TRD-2026-002</v>
      </c>
      <c r="O13" s="20" t="str">
        <f t="shared" ref="O13:O18" si="3">J13</f>
        <v>TRD-2026-003</v>
      </c>
      <c r="R13" s="20" t="s">
        <v>508</v>
      </c>
      <c r="S13" s="20" t="str">
        <f>'Equity Class Product'!B7</f>
        <v>TRD-2026-004</v>
      </c>
      <c r="V13" s="23">
        <v>1</v>
      </c>
      <c r="W13" s="24" t="str">
        <f>S18</f>
        <v>28-Aug-2026</v>
      </c>
      <c r="X13" s="25">
        <f>EDATE(W13,3)</f>
        <v>46354</v>
      </c>
      <c r="Y13" s="24">
        <f>_xlfn.DAYS(X13,W13)</f>
        <v>92</v>
      </c>
      <c r="Z13" s="24">
        <f>Y13/360</f>
        <v>0.25555555555555554</v>
      </c>
      <c r="AA13" s="24">
        <f>(1/S33-1)/S34</f>
        <v>0.24646960009844954</v>
      </c>
      <c r="AB13" s="26">
        <f>'BS Delta'!S35</f>
        <v>3.8803125370789913E-2</v>
      </c>
      <c r="AC13" s="26">
        <f>S24</f>
        <v>1.2E-2</v>
      </c>
      <c r="AD13" s="26">
        <f>AB13+AC13</f>
        <v>5.0803125370789917E-2</v>
      </c>
      <c r="AE13" s="24">
        <f>S17*AD13*Z13</f>
        <v>389490.62784272269</v>
      </c>
      <c r="AF13" s="24">
        <f>S33</f>
        <v>0.99060011663770087</v>
      </c>
      <c r="AG13" s="24">
        <f>AE13*AF13</f>
        <v>385829.46137029247</v>
      </c>
    </row>
    <row r="14" spans="2:33" x14ac:dyDescent="0.3">
      <c r="B14" s="20" t="s">
        <v>576</v>
      </c>
      <c r="C14" s="12">
        <f>'Equity Class Product'!J5</f>
        <v>5000</v>
      </c>
      <c r="D14" s="12">
        <v>5250</v>
      </c>
      <c r="E14" s="20"/>
      <c r="H14" s="20" t="s">
        <v>576</v>
      </c>
      <c r="I14" s="20">
        <f t="shared" si="0"/>
        <v>5000</v>
      </c>
      <c r="J14" s="20">
        <f t="shared" si="1"/>
        <v>5250</v>
      </c>
      <c r="M14" s="20" t="s">
        <v>576</v>
      </c>
      <c r="N14" s="20">
        <f t="shared" si="2"/>
        <v>5000</v>
      </c>
      <c r="O14" s="20">
        <f t="shared" si="3"/>
        <v>5250</v>
      </c>
      <c r="R14" s="20" t="s">
        <v>724</v>
      </c>
      <c r="S14" s="20" t="str">
        <f>'Equity Class Product'!C7</f>
        <v>Total Return Swap (Equity)</v>
      </c>
    </row>
    <row r="15" spans="2:33" x14ac:dyDescent="0.3">
      <c r="B15" s="20" t="s">
        <v>113</v>
      </c>
      <c r="C15" s="12">
        <f>'Equity Class Product'!L5</f>
        <v>5200</v>
      </c>
      <c r="D15" s="12">
        <f>'Equity Class Product'!L6</f>
        <v>5000</v>
      </c>
      <c r="E15" s="20"/>
      <c r="H15" s="20" t="s">
        <v>113</v>
      </c>
      <c r="I15" s="20">
        <f t="shared" si="0"/>
        <v>5200</v>
      </c>
      <c r="J15" s="20">
        <f t="shared" si="1"/>
        <v>5000</v>
      </c>
      <c r="M15" s="20" t="s">
        <v>113</v>
      </c>
      <c r="N15" s="20">
        <f t="shared" si="2"/>
        <v>5200</v>
      </c>
      <c r="O15" s="20">
        <f t="shared" si="3"/>
        <v>5000</v>
      </c>
      <c r="R15" s="20" t="s">
        <v>102</v>
      </c>
      <c r="S15" s="20" t="str">
        <f>'Equity Class Product'!D7</f>
        <v>Receiver of Total Return / Payer of Financing</v>
      </c>
    </row>
    <row r="16" spans="2:33" x14ac:dyDescent="0.3">
      <c r="B16" s="20" t="s">
        <v>577</v>
      </c>
      <c r="C16" s="12">
        <f ca="1">'Equity Class Product'!AB5</f>
        <v>4.1500000000000002E-2</v>
      </c>
      <c r="D16" s="12">
        <f ca="1">'Equity Class Product'!AB6</f>
        <v>2.1000000000000001E-2</v>
      </c>
      <c r="E16" s="20"/>
      <c r="H16" s="20" t="s">
        <v>577</v>
      </c>
      <c r="I16" s="20">
        <f t="shared" ca="1" si="0"/>
        <v>4.1500000000000002E-2</v>
      </c>
      <c r="J16" s="20">
        <f t="shared" ca="1" si="1"/>
        <v>2.1000000000000001E-2</v>
      </c>
      <c r="M16" s="20" t="s">
        <v>577</v>
      </c>
      <c r="N16" s="20">
        <f t="shared" ca="1" si="2"/>
        <v>4.1500000000000002E-2</v>
      </c>
      <c r="O16" s="20">
        <f t="shared" ca="1" si="3"/>
        <v>2.1000000000000001E-2</v>
      </c>
      <c r="R16" s="20" t="s">
        <v>2</v>
      </c>
      <c r="S16" s="20" t="str">
        <f>'Equity Class Product'!H7</f>
        <v>USD</v>
      </c>
      <c r="V16" s="24" t="s">
        <v>742</v>
      </c>
      <c r="W16" s="24">
        <f>AG13</f>
        <v>385829.46137029247</v>
      </c>
    </row>
    <row r="17" spans="2:23" x14ac:dyDescent="0.3">
      <c r="B17" s="20" t="s">
        <v>578</v>
      </c>
      <c r="C17" s="12">
        <f>'Equity Class Product'!AC5</f>
        <v>0.02</v>
      </c>
      <c r="D17" s="12">
        <f>'Equity Class Product'!AC5</f>
        <v>0.02</v>
      </c>
      <c r="E17" s="20"/>
      <c r="H17" s="20" t="s">
        <v>578</v>
      </c>
      <c r="I17" s="20">
        <f t="shared" si="0"/>
        <v>0.02</v>
      </c>
      <c r="J17" s="20">
        <f t="shared" si="1"/>
        <v>0.02</v>
      </c>
      <c r="M17" s="20" t="s">
        <v>578</v>
      </c>
      <c r="N17" s="20">
        <f t="shared" si="2"/>
        <v>0.02</v>
      </c>
      <c r="O17" s="20">
        <f t="shared" si="3"/>
        <v>0.02</v>
      </c>
      <c r="R17" s="20" t="s">
        <v>725</v>
      </c>
      <c r="S17" s="20">
        <f>'Equity Class Product'!I7</f>
        <v>30000000</v>
      </c>
      <c r="V17" s="24" t="s">
        <v>744</v>
      </c>
      <c r="W17" s="24">
        <f>S40*S37</f>
        <v>386579.48301283014</v>
      </c>
    </row>
    <row r="18" spans="2:23" x14ac:dyDescent="0.3">
      <c r="B18" s="20" t="s">
        <v>138</v>
      </c>
      <c r="C18" s="12">
        <f>'Equity Class Product'!U5</f>
        <v>0.18</v>
      </c>
      <c r="D18" s="12">
        <f>'Equity Class Product'!U6</f>
        <v>0.2</v>
      </c>
      <c r="E18" s="20"/>
      <c r="H18" s="20" t="s">
        <v>138</v>
      </c>
      <c r="I18" s="20">
        <f t="shared" si="0"/>
        <v>0.18</v>
      </c>
      <c r="J18" s="20">
        <f t="shared" si="1"/>
        <v>0.2</v>
      </c>
      <c r="M18" s="20" t="s">
        <v>138</v>
      </c>
      <c r="N18" s="20">
        <f t="shared" si="2"/>
        <v>0.18</v>
      </c>
      <c r="O18" s="20">
        <f t="shared" si="3"/>
        <v>0.2</v>
      </c>
      <c r="R18" s="20" t="s">
        <v>509</v>
      </c>
      <c r="S18" s="20" t="str">
        <f>'Equity Class Product'!F7</f>
        <v>28-Aug-2026</v>
      </c>
      <c r="V18" s="24" t="s">
        <v>743</v>
      </c>
      <c r="W18" s="24">
        <f>S41*S38</f>
        <v>385079.40310288162</v>
      </c>
    </row>
    <row r="19" spans="2:23" x14ac:dyDescent="0.3">
      <c r="B19" s="20" t="s">
        <v>579</v>
      </c>
      <c r="C19" s="12">
        <f ca="1">'Equity Class Product'!AD5</f>
        <v>347</v>
      </c>
      <c r="D19" s="12">
        <f ca="1">'Equity Class Product'!AD6</f>
        <v>166</v>
      </c>
      <c r="E19" s="20"/>
      <c r="H19" s="20" t="s">
        <v>579</v>
      </c>
      <c r="I19" s="20">
        <f t="shared" ca="1" si="0"/>
        <v>347</v>
      </c>
      <c r="J19" s="20">
        <f t="shared" ca="1" si="1"/>
        <v>166</v>
      </c>
      <c r="M19" s="20" t="s">
        <v>579</v>
      </c>
      <c r="N19" s="20">
        <f ca="1">I19/365</f>
        <v>0.9506849315068493</v>
      </c>
      <c r="O19" s="20">
        <f ca="1">J19/365</f>
        <v>0.45479452054794522</v>
      </c>
      <c r="R19" s="20" t="s">
        <v>726</v>
      </c>
      <c r="S19" s="20" t="str">
        <f>'Equity Class Product'!G7</f>
        <v>28-Aug-2029</v>
      </c>
      <c r="V19" s="24" t="s">
        <v>745</v>
      </c>
      <c r="W19" s="24">
        <f>(W17-W18)/2</f>
        <v>750.03995497425785</v>
      </c>
    </row>
    <row r="20" spans="2:23" x14ac:dyDescent="0.3">
      <c r="B20" s="20" t="s">
        <v>581</v>
      </c>
      <c r="C20" s="66">
        <f ca="1">(LN(C14/C15)+(C16-C17+(C18^2)/2)*(C19/365))/(C18*(C19/365)^0.5)</f>
        <v>-1.92580324731501E-2</v>
      </c>
      <c r="D20" s="66">
        <f ca="1">(LN(D14/D15)+(D16-D17+(D18^2)/2)*(D19/365))/(D18*(D19/365)^0.5)</f>
        <v>0.43254882653976506</v>
      </c>
      <c r="E20" s="20"/>
      <c r="H20" s="20" t="s">
        <v>581</v>
      </c>
      <c r="I20" s="22">
        <f t="shared" ca="1" si="0"/>
        <v>-1.92580324731501E-2</v>
      </c>
      <c r="J20" s="22">
        <f t="shared" ca="1" si="1"/>
        <v>0.43254882653976506</v>
      </c>
      <c r="M20" s="20" t="s">
        <v>581</v>
      </c>
      <c r="N20" s="22">
        <f ca="1">C20</f>
        <v>-1.92580324731501E-2</v>
      </c>
      <c r="O20" s="22">
        <f ca="1">D20</f>
        <v>0.43254882653976506</v>
      </c>
      <c r="R20" s="20" t="s">
        <v>727</v>
      </c>
      <c r="S20" s="20">
        <f ca="1">'Equity Class Product'!AD7</f>
        <v>1078</v>
      </c>
    </row>
    <row r="21" spans="2:23" x14ac:dyDescent="0.3">
      <c r="B21" s="20" t="s">
        <v>582</v>
      </c>
      <c r="C21" s="66">
        <f ca="1">_xlfn.NORM.S.DIST(C20,TRUE)</f>
        <v>0.49231763147437768</v>
      </c>
      <c r="D21" s="66">
        <f ca="1">_xlfn.NORM.S.DIST(D20,TRUE)</f>
        <v>0.66732871344728961</v>
      </c>
      <c r="E21" s="20"/>
      <c r="H21" s="20" t="s">
        <v>692</v>
      </c>
      <c r="I21" s="20">
        <f ca="1">_xlfn.NORM.S.DIST(I20,FALSE)</f>
        <v>0.39886830903636439</v>
      </c>
      <c r="J21" s="20">
        <f ca="1">_xlfn.NORM.S.DIST(J20,FALSE)</f>
        <v>0.36331401016438181</v>
      </c>
      <c r="M21" s="20" t="s">
        <v>692</v>
      </c>
      <c r="N21" s="20">
        <f ca="1">_xlfn.NORM.S.DIST(N20,FALSE)</f>
        <v>0.39886830903636439</v>
      </c>
      <c r="O21" s="20">
        <f ca="1">_xlfn.NORM.S.DIST(O20,FALSE)</f>
        <v>0.36331401016438181</v>
      </c>
      <c r="R21" s="20" t="s">
        <v>120</v>
      </c>
      <c r="S21" s="20" t="str">
        <f>'Equity Class Product'!R7</f>
        <v>3Y</v>
      </c>
    </row>
    <row r="22" spans="2:23" x14ac:dyDescent="0.3">
      <c r="B22" s="20" t="s">
        <v>583</v>
      </c>
      <c r="C22" s="66">
        <f ca="1">C20-C18*(C19/365)^0.5</f>
        <v>-0.19476356452505414</v>
      </c>
      <c r="D22" s="66">
        <f ca="1">D20-D18*(D19/365)^0.5</f>
        <v>0.2976719166481242</v>
      </c>
      <c r="E22" s="20"/>
      <c r="H22" s="20" t="s">
        <v>580</v>
      </c>
      <c r="I22" s="20" t="str">
        <f>C24</f>
        <v>Call</v>
      </c>
      <c r="J22" s="20" t="str">
        <f>D24</f>
        <v>Put</v>
      </c>
      <c r="M22" s="20" t="s">
        <v>580</v>
      </c>
      <c r="N22" s="20" t="str">
        <f>I22</f>
        <v>Call</v>
      </c>
      <c r="O22" s="20" t="str">
        <f>J22</f>
        <v>Put</v>
      </c>
      <c r="R22" s="20" t="s">
        <v>728</v>
      </c>
      <c r="S22" s="20" t="str">
        <f>'Equity Class Product'!O7</f>
        <v>SOFR + 1.20% (financing leg)</v>
      </c>
    </row>
    <row r="23" spans="2:23" x14ac:dyDescent="0.3">
      <c r="B23" s="20" t="s">
        <v>584</v>
      </c>
      <c r="C23" s="66">
        <f ca="1">_xlfn.NORM.S.DIST(C22,TRUE)</f>
        <v>0.42278902365410692</v>
      </c>
      <c r="D23" s="66">
        <f ca="1">_xlfn.NORM.S.DIST(D22,TRUE)</f>
        <v>0.61702321022876205</v>
      </c>
      <c r="E23" s="20"/>
      <c r="H23" s="24" t="s">
        <v>691</v>
      </c>
      <c r="I23" s="24">
        <f ca="1">I14*EXP(-I17*(I19/365))*I21*(I19/365)^0.5</f>
        <v>1907.9205999421397</v>
      </c>
      <c r="J23" s="24">
        <f ca="1">J14*EXP(-J17*(J19/365))*J21*(J19/365)^0.5</f>
        <v>1274.6729382758917</v>
      </c>
      <c r="M23" s="24" t="s">
        <v>698</v>
      </c>
      <c r="N23" s="24">
        <f ca="1">EXP(-N17*N19)*N21/(N14*N18*N19^0.5)</f>
        <v>4.4597567657949478E-4</v>
      </c>
      <c r="O23" s="24">
        <f ca="1">EXP(-O17*O19)*O21/(O14*O18*O19^0.5)</f>
        <v>5.0843441517984904E-4</v>
      </c>
      <c r="R23" s="20" t="s">
        <v>729</v>
      </c>
      <c r="S23" s="20" t="str">
        <f>'Equity Class Product'!Q7</f>
        <v>SOFR OIS</v>
      </c>
    </row>
    <row r="24" spans="2:23" x14ac:dyDescent="0.3">
      <c r="B24" s="20" t="s">
        <v>580</v>
      </c>
      <c r="C24" s="12" t="s">
        <v>189</v>
      </c>
      <c r="D24" s="12" t="s">
        <v>201</v>
      </c>
      <c r="E24" s="20"/>
      <c r="H24" s="20" t="s">
        <v>696</v>
      </c>
      <c r="I24" s="20">
        <f ca="1">I23/100</f>
        <v>19.079205999421397</v>
      </c>
      <c r="J24" s="20">
        <f ca="1">J23/100</f>
        <v>12.746729382758918</v>
      </c>
      <c r="M24" s="20" t="s">
        <v>702</v>
      </c>
      <c r="N24" s="67">
        <v>0.15</v>
      </c>
      <c r="O24" s="67">
        <v>0.15</v>
      </c>
      <c r="R24" s="20" t="s">
        <v>730</v>
      </c>
      <c r="S24" s="60">
        <v>1.2E-2</v>
      </c>
    </row>
    <row r="25" spans="2:23" x14ac:dyDescent="0.3">
      <c r="B25" s="24" t="s">
        <v>572</v>
      </c>
      <c r="C25" s="66">
        <f ca="1">IF(C24="Call",EXP(-C17*(C19/365))*C21,EXP(-C17*(C19/365))*(C21-1))</f>
        <v>0.48304528256693086</v>
      </c>
      <c r="D25" s="66">
        <f ca="1">IF(D24="call",EXP(-D17*(D19/365))*D21,EXP(-D17*(D19/365))*(D21-1))</f>
        <v>-0.32965906517317362</v>
      </c>
      <c r="E25" s="20"/>
      <c r="M25" s="20" t="s">
        <v>704</v>
      </c>
      <c r="N25" s="20">
        <f>N$14*(1+N$24)</f>
        <v>5750</v>
      </c>
      <c r="O25" s="20">
        <f>O$14*(1+O$24)</f>
        <v>6037.4999999999991</v>
      </c>
      <c r="R25" s="20" t="s">
        <v>121</v>
      </c>
      <c r="S25" s="20" t="str">
        <f>'Equity Class Product'!S7</f>
        <v>Quarterly</v>
      </c>
    </row>
    <row r="26" spans="2:23" x14ac:dyDescent="0.3">
      <c r="B26" s="24" t="s">
        <v>693</v>
      </c>
      <c r="C26" s="24">
        <f ca="1">C14*C25</f>
        <v>2415.2264128346542</v>
      </c>
      <c r="D26" s="24">
        <f ca="1">D14*D25</f>
        <v>-1730.7100921591614</v>
      </c>
      <c r="E26" s="20"/>
      <c r="M26" s="20" t="s">
        <v>705</v>
      </c>
      <c r="N26" s="20">
        <f>N$14*(1-N$24)</f>
        <v>4250</v>
      </c>
      <c r="O26" s="20">
        <f>O$14*(1-O$24)</f>
        <v>4462.5</v>
      </c>
      <c r="R26" s="20" t="s">
        <v>122</v>
      </c>
      <c r="S26" s="20" t="str">
        <f>'Equity Class Product'!T7</f>
        <v>Quarterly</v>
      </c>
    </row>
    <row r="27" spans="2:23" x14ac:dyDescent="0.3">
      <c r="M27" s="20" t="s">
        <v>703</v>
      </c>
      <c r="N27" s="20">
        <f ca="1">C28</f>
        <v>301.77317667696752</v>
      </c>
      <c r="O27" s="20">
        <f ca="1">D28</f>
        <v>165.97245967926074</v>
      </c>
      <c r="R27" s="20" t="s">
        <v>630</v>
      </c>
      <c r="S27" s="20" t="s">
        <v>637</v>
      </c>
    </row>
    <row r="28" spans="2:23" x14ac:dyDescent="0.3">
      <c r="B28" s="72" t="s">
        <v>699</v>
      </c>
      <c r="C28" s="72">
        <f ca="1">IF(C24="call",C14*EXP(-C17*(C19/365))*C21-C15*EXP(-C16*(C19/365))*C23,C15*EXP(-C16*(C19/365))*(1-C23)-C14*EXP(-C17*(C19/365))*(1-C21))</f>
        <v>301.77317667696752</v>
      </c>
      <c r="D28" s="72">
        <f ca="1">IF(D24="call",D14*EXP(-D17*(D19/365))*D21-D15*EXP(-D16*(D19/365))*D23,D15*EXP(-D16*(D19/365))*(1-D23)-D14*EXP(-D17*(D19/365))*(1-D21))</f>
        <v>165.97245967926074</v>
      </c>
      <c r="M28" s="20" t="s">
        <v>706</v>
      </c>
      <c r="N28" s="20">
        <v>787.56399999999996</v>
      </c>
      <c r="O28" s="20">
        <v>31.587700000000002</v>
      </c>
      <c r="R28" s="20" t="s">
        <v>599</v>
      </c>
      <c r="S28" s="20" t="s">
        <v>640</v>
      </c>
    </row>
    <row r="29" spans="2:23" x14ac:dyDescent="0.3">
      <c r="M29" s="20" t="s">
        <v>707</v>
      </c>
      <c r="N29" s="20">
        <v>67.403499999999994</v>
      </c>
      <c r="O29" s="20">
        <v>606.62879999999996</v>
      </c>
      <c r="R29" s="20" t="s">
        <v>731</v>
      </c>
      <c r="S29" s="20" t="s">
        <v>642</v>
      </c>
    </row>
    <row r="30" spans="2:23" x14ac:dyDescent="0.3">
      <c r="M30" s="20"/>
      <c r="N30" s="20"/>
      <c r="O30" s="20"/>
      <c r="R30" s="20"/>
      <c r="S30" s="20"/>
    </row>
    <row r="31" spans="2:23" x14ac:dyDescent="0.3">
      <c r="B31" s="74" t="s">
        <v>700</v>
      </c>
      <c r="C31" s="74">
        <f ca="1">C28</f>
        <v>301.77317667696752</v>
      </c>
      <c r="D31" s="74">
        <f ca="1">D28</f>
        <v>165.97245967926074</v>
      </c>
      <c r="M31" s="20" t="s">
        <v>708</v>
      </c>
      <c r="N31" s="20">
        <f ca="1">N28-N27</f>
        <v>485.79082332303244</v>
      </c>
      <c r="O31" s="20">
        <f ca="1">O28-O27</f>
        <v>-134.38475967926072</v>
      </c>
      <c r="R31" s="20"/>
      <c r="S31" s="20"/>
    </row>
    <row r="32" spans="2:23" x14ac:dyDescent="0.3">
      <c r="B32" s="74" t="s">
        <v>572</v>
      </c>
      <c r="C32" s="75">
        <f ca="1">C25</f>
        <v>0.48304528256693086</v>
      </c>
      <c r="D32" s="75">
        <f ca="1">D25</f>
        <v>-0.32965906517317362</v>
      </c>
      <c r="F32" s="68" t="s">
        <v>716</v>
      </c>
      <c r="G32" s="68" t="s">
        <v>717</v>
      </c>
      <c r="H32" s="68"/>
      <c r="M32" s="20" t="s">
        <v>709</v>
      </c>
      <c r="N32" s="20">
        <f ca="1">N29-N27</f>
        <v>-234.36967667696752</v>
      </c>
      <c r="O32" s="20">
        <f ca="1">O29-O27</f>
        <v>440.65634032073922</v>
      </c>
      <c r="R32" s="20" t="s">
        <v>629</v>
      </c>
      <c r="S32" s="60">
        <f>'Market Rates'!AB9</f>
        <v>3.85E-2</v>
      </c>
    </row>
    <row r="33" spans="2:19" x14ac:dyDescent="0.3">
      <c r="B33" s="74" t="s">
        <v>691</v>
      </c>
      <c r="C33" s="74">
        <f ca="1">I23</f>
        <v>1907.9205999421397</v>
      </c>
      <c r="D33" s="74">
        <f ca="1">J23</f>
        <v>1274.6729382758917</v>
      </c>
      <c r="F33" s="68"/>
      <c r="G33" s="68" t="s">
        <v>585</v>
      </c>
      <c r="H33" s="68" t="s">
        <v>586</v>
      </c>
      <c r="M33" s="20"/>
      <c r="N33" s="20"/>
      <c r="O33" s="20"/>
      <c r="R33" s="20" t="s">
        <v>632</v>
      </c>
      <c r="S33" s="20">
        <f>'Market Rates'!AE9</f>
        <v>0.99060011663770087</v>
      </c>
    </row>
    <row r="34" spans="2:19" x14ac:dyDescent="0.3">
      <c r="B34" s="74" t="s">
        <v>698</v>
      </c>
      <c r="C34" s="74">
        <f ca="1">N23</f>
        <v>4.4597567657949478E-4</v>
      </c>
      <c r="D34" s="74">
        <f ca="1">O23</f>
        <v>5.0843441517984904E-4</v>
      </c>
      <c r="F34" s="68" t="s">
        <v>718</v>
      </c>
      <c r="G34" s="68">
        <f ca="1">0.5*(MIN(1,14/C19))</f>
        <v>2.0172910662824207E-2</v>
      </c>
      <c r="H34" s="68">
        <f ca="1">0.5*(MIN(1,14/D19))</f>
        <v>4.2168674698795178E-2</v>
      </c>
      <c r="M34" s="20" t="s">
        <v>710</v>
      </c>
      <c r="N34" s="20">
        <f ca="1">C25*(N25-C14)</f>
        <v>362.28396192519813</v>
      </c>
      <c r="O34" s="20">
        <f ca="1">D25*(O25-D14)</f>
        <v>-259.60651382387391</v>
      </c>
      <c r="R34" s="20" t="s">
        <v>732</v>
      </c>
      <c r="S34" s="60">
        <f>'Market Rates'!AF9</f>
        <v>3.85E-2</v>
      </c>
    </row>
    <row r="35" spans="2:19" x14ac:dyDescent="0.3">
      <c r="M35" s="20" t="s">
        <v>711</v>
      </c>
      <c r="N35" s="20">
        <f ca="1">C25*(N26-C14)</f>
        <v>-362.28396192519813</v>
      </c>
      <c r="O35" s="20">
        <f ca="1">D25*(O26-D14)</f>
        <v>259.6065138238742</v>
      </c>
      <c r="R35" s="20" t="s">
        <v>733</v>
      </c>
      <c r="S35" s="60">
        <f>'Market Rates'!AH9</f>
        <v>3.8803125370789913E-2</v>
      </c>
    </row>
    <row r="36" spans="2:19" x14ac:dyDescent="0.3">
      <c r="M36" s="20"/>
      <c r="N36" s="20"/>
      <c r="O36" s="20"/>
      <c r="R36" s="20" t="s">
        <v>725</v>
      </c>
      <c r="S36" s="20">
        <f>S17</f>
        <v>30000000</v>
      </c>
    </row>
    <row r="37" spans="2:19" x14ac:dyDescent="0.3">
      <c r="M37" s="20" t="s">
        <v>712</v>
      </c>
      <c r="N37" s="20">
        <f ca="1">N31-N34</f>
        <v>123.50686139783431</v>
      </c>
      <c r="O37" s="20">
        <f ca="1">O31-O34</f>
        <v>125.22175414461319</v>
      </c>
      <c r="R37" s="20" t="s">
        <v>753</v>
      </c>
      <c r="S37" s="20">
        <f>1/(1+(S34+0.01%)*AA13)</f>
        <v>0.99057593144752665</v>
      </c>
    </row>
    <row r="38" spans="2:19" x14ac:dyDescent="0.3">
      <c r="M38" s="20" t="s">
        <v>713</v>
      </c>
      <c r="N38" s="20">
        <f ca="1">N32-N35</f>
        <v>127.91428524823061</v>
      </c>
      <c r="O38" s="20">
        <f ca="1">O32-O35</f>
        <v>181.04982649686502</v>
      </c>
      <c r="R38" s="20" t="s">
        <v>754</v>
      </c>
      <c r="S38" s="20">
        <f>1/(1+(S34-0.01%)*AA13)</f>
        <v>0.99062430300888049</v>
      </c>
    </row>
    <row r="39" spans="2:19" x14ac:dyDescent="0.3">
      <c r="M39" s="20"/>
      <c r="N39" s="20"/>
      <c r="O39" s="20"/>
      <c r="R39" s="20"/>
      <c r="S39" s="20"/>
    </row>
    <row r="40" spans="2:19" x14ac:dyDescent="0.3">
      <c r="M40" s="20" t="s">
        <v>719</v>
      </c>
      <c r="N40" s="20">
        <f ca="1">G34</f>
        <v>2.0172910662824207E-2</v>
      </c>
      <c r="O40" s="20">
        <f ca="1">H34</f>
        <v>4.2168674698795178E-2</v>
      </c>
      <c r="R40" s="20" t="s">
        <v>755</v>
      </c>
      <c r="S40" s="20">
        <f>S36*Z13*(AD13+0.01%)</f>
        <v>390257.29450938938</v>
      </c>
    </row>
    <row r="41" spans="2:19" x14ac:dyDescent="0.3">
      <c r="M41" s="20"/>
      <c r="N41" s="20"/>
      <c r="O41" s="20"/>
      <c r="R41" s="20" t="s">
        <v>756</v>
      </c>
      <c r="S41" s="20">
        <f>S36*Z13*(AD13-0.01%)</f>
        <v>388723.96117605601</v>
      </c>
    </row>
    <row r="42" spans="2:19" x14ac:dyDescent="0.3">
      <c r="M42" s="20" t="s">
        <v>714</v>
      </c>
      <c r="N42" s="20">
        <f ca="1">C33*C18*N40</f>
        <v>6.9278961265910546</v>
      </c>
      <c r="O42" s="20">
        <f ca="1">D33*D18*O40</f>
        <v>10.7502536963027</v>
      </c>
    </row>
    <row r="43" spans="2:19" x14ac:dyDescent="0.3">
      <c r="M43" s="20" t="s">
        <v>715</v>
      </c>
      <c r="N43" s="20">
        <f ca="1">-N42</f>
        <v>-6.9278961265910546</v>
      </c>
      <c r="O43" s="20">
        <f ca="1">-O42</f>
        <v>-10.7502536963027</v>
      </c>
    </row>
  </sheetData>
  <mergeCells count="3">
    <mergeCell ref="B10:E10"/>
    <mergeCell ref="H10:J10"/>
    <mergeCell ref="M10:O10"/>
  </mergeCells>
  <pageMargins left="0.7" right="0.7" top="0.75" bottom="0.75" header="0.3" footer="0.3"/>
  <pageSetup orientation="portrait" r:id="rId1"/>
  <ignoredErrors>
    <ignoredError sqref="C22:D2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6C68-77C8-4FF7-A649-16DA966F6C26}">
  <sheetPr>
    <tabColor theme="8" tint="-0.249977111117893"/>
  </sheetPr>
  <dimension ref="B1:Y9"/>
  <sheetViews>
    <sheetView showGridLines="0" topLeftCell="P1" workbookViewId="0">
      <selection activeCell="G9" sqref="G9"/>
    </sheetView>
  </sheetViews>
  <sheetFormatPr defaultColWidth="15.77734375" defaultRowHeight="14.4" x14ac:dyDescent="0.3"/>
  <cols>
    <col min="3" max="3" width="34" bestFit="1" customWidth="1"/>
    <col min="4" max="4" width="35.6640625" bestFit="1" customWidth="1"/>
    <col min="5" max="5" width="25.21875" bestFit="1" customWidth="1"/>
    <col min="6" max="6" width="11.33203125" bestFit="1" customWidth="1"/>
    <col min="10" max="10" width="9.6640625" bestFit="1" customWidth="1"/>
    <col min="11" max="11" width="33" bestFit="1" customWidth="1"/>
    <col min="12" max="13" width="27.33203125" bestFit="1" customWidth="1"/>
    <col min="15" max="15" width="38" bestFit="1" customWidth="1"/>
    <col min="16" max="16" width="32.21875" bestFit="1" customWidth="1"/>
    <col min="17" max="17" width="18.6640625" bestFit="1" customWidth="1"/>
    <col min="18" max="18" width="24.77734375" bestFit="1" customWidth="1"/>
    <col min="19" max="19" width="30" bestFit="1" customWidth="1"/>
  </cols>
  <sheetData>
    <row r="1" spans="2:25" x14ac:dyDescent="0.3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3" spans="2:25" s="14" customFormat="1" x14ac:dyDescent="0.3">
      <c r="B3" s="15" t="s">
        <v>100</v>
      </c>
      <c r="C3" s="15" t="s">
        <v>101</v>
      </c>
      <c r="D3" s="15" t="s">
        <v>102</v>
      </c>
      <c r="E3" s="15" t="s">
        <v>103</v>
      </c>
      <c r="F3" s="15" t="s">
        <v>509</v>
      </c>
      <c r="G3" s="15" t="s">
        <v>104</v>
      </c>
      <c r="H3" s="15" t="s">
        <v>2</v>
      </c>
      <c r="I3" s="15" t="s">
        <v>110</v>
      </c>
      <c r="J3" s="15" t="s">
        <v>597</v>
      </c>
      <c r="K3" s="15" t="s">
        <v>115</v>
      </c>
      <c r="L3" s="15" t="s">
        <v>122</v>
      </c>
      <c r="M3" s="15" t="s">
        <v>121</v>
      </c>
      <c r="N3" s="15" t="s">
        <v>515</v>
      </c>
      <c r="O3" s="15" t="s">
        <v>141</v>
      </c>
      <c r="P3" s="15" t="s">
        <v>140</v>
      </c>
      <c r="Q3" s="15" t="s">
        <v>598</v>
      </c>
      <c r="R3" s="15" t="s">
        <v>599</v>
      </c>
      <c r="S3" s="15" t="s">
        <v>600</v>
      </c>
      <c r="T3" s="15" t="s">
        <v>601</v>
      </c>
      <c r="U3" s="15" t="s">
        <v>602</v>
      </c>
      <c r="V3" s="15" t="s">
        <v>573</v>
      </c>
      <c r="W3" s="15" t="s">
        <v>587</v>
      </c>
      <c r="X3" s="15" t="s">
        <v>603</v>
      </c>
      <c r="Y3" s="15" t="s">
        <v>516</v>
      </c>
    </row>
    <row r="4" spans="2:25" x14ac:dyDescent="0.3">
      <c r="B4" s="16" t="str" cm="1">
        <f t="array" ref="B4:B9">_xlfn._xlws.FILTER(_xlfn.XLOOKUP(B$3,'Trades Inputs'!$C$1:$BN$1,'Trades Inputs'!$C2:$BN25),ISNUMBER(SEARCH("Interest",'Trades Inputs'!$BB2:$BB25)))</f>
        <v>TRD-2026-009</v>
      </c>
      <c r="C4" s="16" t="str" cm="1">
        <f t="array" ref="C4:C9">_xlfn._xlws.FILTER(_xlfn.XLOOKUP(C$3,'Trades Inputs'!$C$1:$BN$1,'Trades Inputs'!$C2:$BN25),ISNUMBER(SEARCH("Interest",'Trades Inputs'!$BB2:$BB25)))</f>
        <v>Cross-Currency Swap (USD/EUR)</v>
      </c>
      <c r="D4" s="16" t="str" cm="1">
        <f t="array" ref="D4:D9">_xlfn._xlws.FILTER(_xlfn.XLOOKUP(D$3,'Trades Inputs'!$C$1:$BN$1,'Trades Inputs'!$C2:$BN25),ISNUMBER(SEARCH("Interest",'Trades Inputs'!$BB2:$BB25)))</f>
        <v>Pay USD Floating / Receive EUR Floating</v>
      </c>
      <c r="E4" s="16" t="str" cm="1">
        <f t="array" ref="E4:E9">_xlfn._xlws.FILTER(_xlfn.XLOOKUP(E$3,'Trades Inputs'!$C$1:$BN$1,'Trades Inputs'!$C2:$BN25),ISNUMBER(SEARCH("Interest",'Trades Inputs'!$BB2:$BB25)))</f>
        <v>USD SOFR vs EUR STR</v>
      </c>
      <c r="F4" s="16" t="str" cm="1">
        <f t="array" ref="F4:F9">_xlfn._xlws.FILTER(_xlfn.XLOOKUP(F$3,'Trades Inputs'!$C$1:$BN$1,'Trades Inputs'!$C2:$BN25),ISNUMBER(SEARCH("Interest",'Trades Inputs'!$BB2:$BB25)))</f>
        <v>28-Aug-2026</v>
      </c>
      <c r="G4" s="16" t="str" cm="1">
        <f t="array" ref="G4:G9">_xlfn._xlws.FILTER(_xlfn.XLOOKUP(G$3,'Trades Inputs'!$C$1:$BN$1,'Trades Inputs'!$C2:$BN25),ISNUMBER(SEARCH("Interest",'Trades Inputs'!$BB2:$BB25)))</f>
        <v>28-Aug-2031</v>
      </c>
      <c r="H4" s="16" t="str" cm="1">
        <f t="array" ref="H4:H9">_xlfn._xlws.FILTER(_xlfn.XLOOKUP(H$3,'Trades Inputs'!$C$1:$BN$1,'Trades Inputs'!$C2:$BN25),ISNUMBER(SEARCH("Interest",'Trades Inputs'!$BB2:$BB25)))</f>
        <v>USD/EUR</v>
      </c>
      <c r="I4" s="16" t="str" cm="1">
        <f t="array" ref="I4:I9">_xlfn._xlws.FILTER(_xlfn.XLOOKUP(I$3,'Trades Inputs'!$C$1:$BN$1,'Trades Inputs'!$C2:$BN25),ISNUMBER(SEARCH("Interest",'Trades Inputs'!$BB2:$BB25)))</f>
        <v>$40,000,000</v>
      </c>
      <c r="J4" s="16" t="str" cm="1">
        <f t="array" ref="J4:J9">_xlfn._xlws.FILTER(_xlfn.XLOOKUP(J$3,'Trades Inputs'!$C$1:$BN$1,'Trades Inputs'!$C2:$BN25),ISNUMBER(SEARCH("Interest",'Trades Inputs'!$BB2:$BB25)))</f>
        <v xml:space="preserve">    - </v>
      </c>
      <c r="K4" s="16" t="str" cm="1">
        <f t="array" ref="K4:K9">_xlfn._xlws.FILTER(_xlfn.XLOOKUP(K$3,'Trades Inputs'!$C$1:$BN$1,'Trades Inputs'!$C2:$BN25),ISNUMBER(SEARCH("Interest",'Trades Inputs'!$BB2:$BB25)))</f>
        <v>USD: SOFR + 1.00%; EUR: €STR + 0.80%</v>
      </c>
      <c r="L4" s="16" t="str" cm="1">
        <f t="array" ref="L4:L9">_xlfn._xlws.FILTER(_xlfn.XLOOKUP(L$3,'Trades Inputs'!$C$1:$BN$1,'Trades Inputs'!$C2:$BN25),ISNUMBER(SEARCH("Interest",'Trades Inputs'!$BB2:$BB25)))</f>
        <v>Quarterly</v>
      </c>
      <c r="M4" s="16" t="str" cm="1">
        <f t="array" ref="M4:M9">_xlfn._xlws.FILTER(_xlfn.XLOOKUP(M$3,'Trades Inputs'!$C$1:$BN$1,'Trades Inputs'!$C2:$BN25),ISNUMBER(SEARCH("Interest",'Trades Inputs'!$BB2:$BB25)))</f>
        <v>Quarterly</v>
      </c>
      <c r="N4" s="16" t="str" cm="1">
        <f t="array" ref="N4:N9">_xlfn._xlws.FILTER(_xlfn.XLOOKUP(N$3,'Trades Inputs'!$C$1:$BN$1,'Trades Inputs'!$C2:$BN25),ISNUMBER(SEARCH("Interest",'Trades Inputs'!$BB2:$BB25)))</f>
        <v>USD/EUR</v>
      </c>
      <c r="O4" s="16" t="str" cm="1">
        <f t="array" ref="O4:O9">_xlfn._xlws.FILTER(_xlfn.XLOOKUP(O$3,'Trades Inputs'!$C$1:$BN$1,'Trades Inputs'!$C2:$BN25),ISNUMBER(SEARCH("Interest",'Trades Inputs'!$BB2:$BB25)))</f>
        <v>IR Delta - SOFR &amp; €STR; FX Delta - EUR/USD</v>
      </c>
      <c r="P4" s="16" t="str" cm="1">
        <f t="array" ref="P4:P9">_xlfn._xlws.FILTER(_xlfn.XLOOKUP(P$3,'Trades Inputs'!$C$1:$BN$1,'Trades Inputs'!$C2:$BN25),ISNUMBER(SEARCH("Interest",'Trades Inputs'!$BB2:$BB25)))</f>
        <v>USD &amp; EUR (IR); FX (single bucket, G10)</v>
      </c>
      <c r="Q4" s="30" t="s">
        <v>637</v>
      </c>
      <c r="R4" s="12" t="s">
        <v>806</v>
      </c>
      <c r="S4" s="76" t="s">
        <v>808</v>
      </c>
      <c r="T4" s="28">
        <f ca="1">G4-TODAY()</f>
        <v>1808</v>
      </c>
      <c r="U4" s="16" t="e" cm="1">
        <f t="array" ref="U4">_xlfn._xlws.FILTER(_xlfn.XLOOKUP(U$3,'Trades Inputs'!$C$1:$BN$1,'Trades Inputs'!$C2:$BN25),ISNUMBER(SEARCH("Interest",'Trades Inputs'!$BB2:$BB25)))</f>
        <v>#N/A</v>
      </c>
      <c r="V4" s="16" t="e" cm="1">
        <f t="array" ref="V4">_xlfn._xlws.FILTER(_xlfn.XLOOKUP(V$3,'Trades Inputs'!$C$1:$BN$1,'Trades Inputs'!$C2:$BN25),ISNUMBER(SEARCH("Interest",'Trades Inputs'!$BB2:$BB25)))</f>
        <v>#N/A</v>
      </c>
      <c r="W4" s="16" t="e" cm="1">
        <f t="array" ref="W4">_xlfn._xlws.FILTER(_xlfn.XLOOKUP(W$3,'Trades Inputs'!$C$1:$BN$1,'Trades Inputs'!$C2:$BN25),ISNUMBER(SEARCH("Interest",'Trades Inputs'!$BB2:$BB25)))</f>
        <v>#N/A</v>
      </c>
      <c r="X4" s="16" t="e" cm="1">
        <f t="array" ref="X4">_xlfn._xlws.FILTER(_xlfn.XLOOKUP(X$3,'Trades Inputs'!$C$1:$BN$1,'Trades Inputs'!$C2:$BN25),ISNUMBER(SEARCH("Interest",'Trades Inputs'!$BB2:$BB25)))</f>
        <v>#N/A</v>
      </c>
      <c r="Y4" s="16" t="e" cm="1">
        <f t="array" ref="Y4">_xlfn._xlws.FILTER(_xlfn.XLOOKUP(Y$3,'Trades Inputs'!$C$1:$BN$1,'Trades Inputs'!$C2:$BN25),ISNUMBER(SEARCH("Interest",'Trades Inputs'!$BB2:$BB25)))</f>
        <v>#N/A</v>
      </c>
    </row>
    <row r="5" spans="2:25" x14ac:dyDescent="0.3">
      <c r="B5" s="16" t="str">
        <v>TRD-2026-016</v>
      </c>
      <c r="C5" s="16" t="str">
        <v>Interest Rate Swap (Fixed vs Floating)</v>
      </c>
      <c r="D5" s="16" t="str">
        <v>Pay Fixed / Receive Floating</v>
      </c>
      <c r="E5" s="16" t="str">
        <v>USD SOFR</v>
      </c>
      <c r="F5" s="16" t="str">
        <v>28-Aug-2026</v>
      </c>
      <c r="G5" s="16" t="str">
        <v>28-Aug-2031</v>
      </c>
      <c r="H5" s="16" t="str">
        <v>USD</v>
      </c>
      <c r="I5" s="16" t="str">
        <v>$50,000,000</v>
      </c>
      <c r="J5" s="16">
        <v>4.2000000000000003E-2</v>
      </c>
      <c r="K5" s="16" t="str">
        <v>3M SOFR</v>
      </c>
      <c r="L5" s="16" t="str">
        <v>Quarterly</v>
      </c>
      <c r="M5" s="16" t="str">
        <v>Quarterly</v>
      </c>
      <c r="N5" s="16" t="str">
        <v>USD</v>
      </c>
      <c r="O5" s="16" t="str">
        <v>IR Delta - SOFR Swap Curve</v>
      </c>
      <c r="P5" s="16" t="str">
        <v>USD</v>
      </c>
      <c r="Q5" s="30" t="s">
        <v>637</v>
      </c>
      <c r="R5" s="12" t="s">
        <v>807</v>
      </c>
      <c r="S5" s="16" t="s">
        <v>809</v>
      </c>
      <c r="T5" s="28">
        <f t="shared" ref="T5:T9" ca="1" si="0">G5-TODAY()</f>
        <v>1808</v>
      </c>
      <c r="U5" s="16"/>
      <c r="V5" s="16"/>
      <c r="W5" s="16"/>
      <c r="X5" s="16"/>
      <c r="Y5" s="16"/>
    </row>
    <row r="6" spans="2:25" x14ac:dyDescent="0.3">
      <c r="B6" s="16" t="str">
        <v>TRD-2026-017</v>
      </c>
      <c r="C6" s="16" t="str">
        <v>Overnight Index Swap (OIS)</v>
      </c>
      <c r="D6" s="16" t="str">
        <v>Pay Fixed / Receive Floating (Compounded)</v>
      </c>
      <c r="E6" s="16" t="str">
        <v xml:space="preserve">USD SOFR </v>
      </c>
      <c r="F6" s="16" t="str">
        <v>28-Aug-2026</v>
      </c>
      <c r="G6" s="16" t="str">
        <v>28-Aug-2029</v>
      </c>
      <c r="H6" s="16" t="str">
        <v>USD</v>
      </c>
      <c r="I6" s="16" t="str">
        <v>$35,000,000</v>
      </c>
      <c r="J6" s="16">
        <v>3.95E-2</v>
      </c>
      <c r="K6" s="16" t="str">
        <v>SOFR (compounded overnight)</v>
      </c>
      <c r="L6" s="16" t="str">
        <v>Annual</v>
      </c>
      <c r="M6" s="16" t="str">
        <v>Daily</v>
      </c>
      <c r="N6" s="16" t="str">
        <v>USD</v>
      </c>
      <c r="O6" s="16" t="str">
        <v>IR Delta - SOFR OIS Curve</v>
      </c>
      <c r="P6" s="16" t="str">
        <v>USD</v>
      </c>
      <c r="Q6" s="30" t="s">
        <v>637</v>
      </c>
      <c r="R6" s="12" t="s">
        <v>807</v>
      </c>
      <c r="S6" s="16" t="s">
        <v>807</v>
      </c>
      <c r="T6" s="28">
        <f t="shared" ca="1" si="0"/>
        <v>1078</v>
      </c>
      <c r="U6" s="16"/>
      <c r="V6" s="16"/>
      <c r="W6" s="16"/>
      <c r="X6" s="16"/>
      <c r="Y6" s="16"/>
    </row>
    <row r="7" spans="2:25" x14ac:dyDescent="0.3">
      <c r="B7" s="16" t="str">
        <v>TRD-2026-018</v>
      </c>
      <c r="C7" s="16" t="str">
        <v>Interest Rate Swaption (Payer, European)</v>
      </c>
      <c r="D7" s="16" t="str">
        <v>Long (Buyer)</v>
      </c>
      <c r="E7" s="16" t="str">
        <v>USD SOFR 5Y Swap</v>
      </c>
      <c r="F7" s="16" t="str">
        <v>28-Aug-2026</v>
      </c>
      <c r="G7" s="78">
        <v>48819</v>
      </c>
      <c r="H7" s="16" t="str">
        <v>USD</v>
      </c>
      <c r="I7" s="16" t="str">
        <v>$25,000,000</v>
      </c>
      <c r="J7" s="16">
        <v>4.2500000000000003E-2</v>
      </c>
      <c r="K7" s="16" t="str">
        <v>3M SOFR (underlying swap)</v>
      </c>
      <c r="L7" s="16" t="str">
        <v>Quarterly</v>
      </c>
      <c r="M7" s="16" t="str">
        <v>Quarterly</v>
      </c>
      <c r="N7" s="16" t="str">
        <v>USD</v>
      </c>
      <c r="O7" s="16" t="str">
        <v>IR Delta &amp; Vega - SOFR Swap Curve (Swaption)</v>
      </c>
      <c r="P7" s="16" t="str">
        <v>USD</v>
      </c>
      <c r="Q7" s="30" t="s">
        <v>637</v>
      </c>
      <c r="R7" s="12" t="s">
        <v>807</v>
      </c>
      <c r="S7" s="16" t="s">
        <v>810</v>
      </c>
      <c r="T7" s="28">
        <f t="shared" ca="1" si="0"/>
        <v>2539</v>
      </c>
      <c r="U7" s="16"/>
      <c r="V7" s="16"/>
      <c r="W7" s="16"/>
      <c r="X7" s="16"/>
      <c r="Y7" s="16"/>
    </row>
    <row r="8" spans="2:25" x14ac:dyDescent="0.3">
      <c r="B8" s="16" t="str">
        <v>TRD-2026-019</v>
      </c>
      <c r="C8" s="16" t="str">
        <v>Interest Rate Cap</v>
      </c>
      <c r="D8" s="16" t="str">
        <v>Long (Buyer)</v>
      </c>
      <c r="E8" s="16" t="str">
        <v>3M SOFR</v>
      </c>
      <c r="F8" s="16" t="str">
        <v>28-Aug-2026</v>
      </c>
      <c r="G8" s="16" t="str">
        <v>28-Aug-2029</v>
      </c>
      <c r="H8" s="16" t="str">
        <v>USD</v>
      </c>
      <c r="I8" s="16" t="str">
        <v>$20,000,000</v>
      </c>
      <c r="J8" s="16" t="str">
        <v xml:space="preserve">    - </v>
      </c>
      <c r="K8" s="16" t="str">
        <v>3M SOFR</v>
      </c>
      <c r="L8" s="16" t="str">
        <v>Quarterly</v>
      </c>
      <c r="M8" s="16" t="str">
        <v>Quarterly</v>
      </c>
      <c r="N8" s="16" t="str">
        <v>USD</v>
      </c>
      <c r="O8" s="16" t="str">
        <v>IR Delta &amp; Vega - SOFR Curve (Cap)</v>
      </c>
      <c r="P8" s="16" t="str">
        <v>USD</v>
      </c>
      <c r="Q8" s="30" t="s">
        <v>637</v>
      </c>
      <c r="R8" s="12" t="s">
        <v>807</v>
      </c>
      <c r="S8" s="16" t="s">
        <v>809</v>
      </c>
      <c r="T8" s="28">
        <f t="shared" ca="1" si="0"/>
        <v>1078</v>
      </c>
      <c r="U8" s="16"/>
      <c r="V8" s="16"/>
      <c r="W8" s="16"/>
      <c r="X8" s="16"/>
      <c r="Y8" s="16"/>
    </row>
    <row r="9" spans="2:25" x14ac:dyDescent="0.3">
      <c r="B9" s="16" t="str">
        <v>TRD-2026-020</v>
      </c>
      <c r="C9" s="16" t="str">
        <v>Forward Rate Agreement (FRA)</v>
      </c>
      <c r="D9" s="16" t="str">
        <v>Fix Borrowing Rate (Buyer of FRA)</v>
      </c>
      <c r="E9" s="16" t="str">
        <v>3M USD Rate</v>
      </c>
      <c r="F9" s="16" t="str">
        <v>28-Aug-2026</v>
      </c>
      <c r="G9" s="78" t="str">
        <v xml:space="preserve"> 28-Feb-2027</v>
      </c>
      <c r="H9" s="16" t="str">
        <v>USD</v>
      </c>
      <c r="I9" s="16" t="str">
        <v>$15,000,000</v>
      </c>
      <c r="J9" s="16">
        <v>4.1000000000000002E-2</v>
      </c>
      <c r="K9" s="16" t="str">
        <v>3M reference rate (currently 3.85%)</v>
      </c>
      <c r="L9" s="16" t="str">
        <v>Single settlement</v>
      </c>
      <c r="M9" s="16" t="str">
        <v>Single fixing at start</v>
      </c>
      <c r="N9" s="16" t="str">
        <v>USD</v>
      </c>
      <c r="O9" s="16" t="str">
        <v>IR Delta - Money Market Curve (FRA)</v>
      </c>
      <c r="P9" s="16" t="str">
        <v>USD</v>
      </c>
      <c r="Q9" s="30" t="s">
        <v>637</v>
      </c>
      <c r="R9" s="12" t="s">
        <v>807</v>
      </c>
      <c r="S9" s="16" t="s">
        <v>811</v>
      </c>
      <c r="T9" s="78" t="e">
        <f t="shared" ca="1" si="0"/>
        <v>#VALUE!</v>
      </c>
      <c r="U9" s="16"/>
      <c r="V9" s="16"/>
      <c r="W9" s="16"/>
      <c r="X9" s="16"/>
      <c r="Y9" s="16"/>
    </row>
  </sheetData>
  <phoneticPr fontId="1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7342-A37F-41A6-8184-CFF28BEFE546}">
  <sheetPr>
    <tabColor theme="7"/>
  </sheetPr>
  <dimension ref="A1:P67"/>
  <sheetViews>
    <sheetView showGridLines="0" workbookViewId="0">
      <selection sqref="A1:XFD1048576"/>
    </sheetView>
  </sheetViews>
  <sheetFormatPr defaultRowHeight="14.4" x14ac:dyDescent="0.3"/>
  <cols>
    <col min="1" max="1" width="25" bestFit="1" customWidth="1"/>
    <col min="2" max="2" width="27" customWidth="1"/>
    <col min="3" max="3" width="13" customWidth="1"/>
    <col min="4" max="5" width="14" customWidth="1"/>
    <col min="6" max="6" width="11.5546875" bestFit="1" customWidth="1"/>
    <col min="7" max="7" width="8.77734375" bestFit="1" customWidth="1"/>
    <col min="8" max="8" width="12" customWidth="1"/>
    <col min="9" max="9" width="16" customWidth="1"/>
    <col min="10" max="10" width="14" customWidth="1"/>
    <col min="11" max="12" width="16" customWidth="1"/>
    <col min="13" max="14" width="14" customWidth="1"/>
    <col min="15" max="15" width="16" customWidth="1"/>
    <col min="16" max="16" width="55" customWidth="1"/>
  </cols>
  <sheetData>
    <row r="1" spans="1:16" ht="18" x14ac:dyDescent="0.35">
      <c r="A1" s="80" t="s">
        <v>813</v>
      </c>
      <c r="B1" s="81"/>
      <c r="C1" s="81"/>
      <c r="D1" s="81"/>
      <c r="E1" s="81"/>
      <c r="F1" s="81"/>
      <c r="G1" s="81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3">
      <c r="A2" s="81" t="s">
        <v>814</v>
      </c>
      <c r="B2" s="82">
        <v>46262</v>
      </c>
      <c r="C2" s="81"/>
      <c r="D2" s="81" t="s">
        <v>815</v>
      </c>
      <c r="E2" s="81" t="s">
        <v>816</v>
      </c>
      <c r="F2" s="81"/>
      <c r="G2" s="81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3">
      <c r="A3" s="81"/>
      <c r="B3" s="81"/>
      <c r="C3" s="81"/>
      <c r="D3" s="81"/>
      <c r="E3" s="81"/>
      <c r="F3" s="81"/>
      <c r="G3" s="81"/>
      <c r="H3" s="19"/>
      <c r="I3" s="19"/>
      <c r="J3" s="19"/>
      <c r="K3" s="19"/>
      <c r="L3" s="19"/>
      <c r="M3" s="19"/>
      <c r="N3" s="19"/>
      <c r="O3" s="19"/>
      <c r="P3" s="19"/>
    </row>
    <row r="4" spans="1:16" x14ac:dyDescent="0.3">
      <c r="A4" s="83" t="s">
        <v>817</v>
      </c>
      <c r="B4" s="81"/>
      <c r="C4" s="81"/>
      <c r="D4" s="81"/>
      <c r="E4" s="83" t="s">
        <v>818</v>
      </c>
      <c r="F4" s="81"/>
      <c r="G4" s="81"/>
      <c r="H4" s="19"/>
      <c r="I4" s="19"/>
      <c r="J4" s="19"/>
      <c r="K4" s="19"/>
      <c r="L4" s="19"/>
      <c r="M4" s="19"/>
      <c r="N4" s="19"/>
      <c r="O4" s="19"/>
      <c r="P4" s="19"/>
    </row>
    <row r="5" spans="1:16" x14ac:dyDescent="0.3">
      <c r="A5" s="81" t="s">
        <v>819</v>
      </c>
      <c r="B5" s="84">
        <v>4.4999999999999998E-2</v>
      </c>
      <c r="C5" s="81" t="s">
        <v>820</v>
      </c>
      <c r="D5" s="81"/>
      <c r="E5" s="85" t="s">
        <v>120</v>
      </c>
      <c r="F5" s="85" t="s">
        <v>737</v>
      </c>
      <c r="G5" s="85" t="s">
        <v>633</v>
      </c>
      <c r="H5" s="19"/>
      <c r="I5" s="19"/>
      <c r="J5" s="19"/>
      <c r="K5" s="19"/>
      <c r="L5" s="19"/>
      <c r="M5" s="19"/>
      <c r="N5" s="19"/>
      <c r="O5" s="19"/>
      <c r="P5" s="19"/>
    </row>
    <row r="6" spans="1:16" x14ac:dyDescent="0.3">
      <c r="A6" s="81" t="s">
        <v>821</v>
      </c>
      <c r="B6" s="84"/>
      <c r="C6" s="81" t="s">
        <v>822</v>
      </c>
      <c r="D6" s="81"/>
      <c r="E6" s="81" t="s">
        <v>524</v>
      </c>
      <c r="F6" s="81">
        <v>1</v>
      </c>
      <c r="G6" s="86">
        <v>3.6999999999999998E-2</v>
      </c>
      <c r="H6" s="19"/>
      <c r="I6" s="19"/>
      <c r="J6" s="19"/>
      <c r="K6" s="19"/>
      <c r="L6" s="19"/>
      <c r="M6" s="19"/>
      <c r="N6" s="19"/>
      <c r="O6" s="19"/>
      <c r="P6" s="19"/>
    </row>
    <row r="7" spans="1:16" x14ac:dyDescent="0.3">
      <c r="A7" s="81" t="s">
        <v>823</v>
      </c>
      <c r="B7" s="84">
        <v>1</v>
      </c>
      <c r="C7" s="81" t="s">
        <v>824</v>
      </c>
      <c r="D7" s="81"/>
      <c r="E7" s="81" t="s">
        <v>525</v>
      </c>
      <c r="F7" s="81">
        <v>7</v>
      </c>
      <c r="G7" s="86">
        <v>3.7199999999999997E-2</v>
      </c>
      <c r="H7" s="19"/>
      <c r="I7" s="19"/>
      <c r="J7" s="19"/>
      <c r="K7" s="19"/>
      <c r="L7" s="19"/>
      <c r="M7" s="19"/>
      <c r="N7" s="19"/>
      <c r="O7" s="19"/>
      <c r="P7" s="19"/>
    </row>
    <row r="8" spans="1:16" x14ac:dyDescent="0.3">
      <c r="A8" s="81"/>
      <c r="B8" s="81"/>
      <c r="C8" s="81"/>
      <c r="D8" s="81"/>
      <c r="E8" s="81" t="s">
        <v>526</v>
      </c>
      <c r="F8" s="81">
        <v>30</v>
      </c>
      <c r="G8" s="86">
        <v>3.7499999999999999E-2</v>
      </c>
      <c r="H8" s="19"/>
      <c r="I8" s="19"/>
      <c r="J8" s="19"/>
      <c r="K8" s="19"/>
      <c r="L8" s="19"/>
      <c r="M8" s="19"/>
      <c r="N8" s="19"/>
      <c r="O8" s="19"/>
      <c r="P8" s="19"/>
    </row>
    <row r="9" spans="1:16" x14ac:dyDescent="0.3">
      <c r="A9" s="81"/>
      <c r="B9" s="81"/>
      <c r="C9" s="81"/>
      <c r="D9" s="81"/>
      <c r="E9" s="81" t="s">
        <v>527</v>
      </c>
      <c r="F9" s="81">
        <v>60</v>
      </c>
      <c r="G9" s="86">
        <v>3.7999999999999999E-2</v>
      </c>
      <c r="H9" s="19"/>
      <c r="I9" s="19"/>
      <c r="J9" s="19"/>
      <c r="K9" s="19"/>
      <c r="L9" s="19"/>
      <c r="M9" s="19"/>
      <c r="N9" s="19"/>
      <c r="O9" s="19"/>
      <c r="P9" s="19"/>
    </row>
    <row r="10" spans="1:16" x14ac:dyDescent="0.3">
      <c r="A10" s="19"/>
      <c r="B10" s="19"/>
      <c r="C10" s="19"/>
      <c r="D10" s="19"/>
      <c r="E10" s="19"/>
      <c r="F10" s="19"/>
      <c r="G10" s="87"/>
      <c r="H10" s="19"/>
      <c r="I10" s="19"/>
      <c r="J10" s="19"/>
      <c r="K10" s="19"/>
      <c r="L10" s="19"/>
      <c r="M10" s="19"/>
      <c r="N10" s="19"/>
      <c r="O10" s="19"/>
      <c r="P10" s="19"/>
    </row>
    <row r="11" spans="1:16" x14ac:dyDescent="0.3">
      <c r="G11" s="88"/>
    </row>
    <row r="12" spans="1:16" x14ac:dyDescent="0.3">
      <c r="A12" s="89" t="s">
        <v>508</v>
      </c>
      <c r="B12" s="89" t="s">
        <v>825</v>
      </c>
      <c r="C12" s="89" t="s">
        <v>509</v>
      </c>
      <c r="D12" s="89" t="s">
        <v>826</v>
      </c>
      <c r="E12" s="89" t="s">
        <v>827</v>
      </c>
      <c r="F12" s="89" t="s">
        <v>828</v>
      </c>
      <c r="G12" s="90" t="s">
        <v>737</v>
      </c>
      <c r="H12" s="89" t="s">
        <v>738</v>
      </c>
      <c r="I12" s="89" t="s">
        <v>725</v>
      </c>
      <c r="J12" s="89" t="s">
        <v>829</v>
      </c>
      <c r="K12" s="89" t="s">
        <v>830</v>
      </c>
      <c r="L12" s="89" t="s">
        <v>831</v>
      </c>
      <c r="M12" s="89" t="s">
        <v>832</v>
      </c>
      <c r="N12" s="89" t="s">
        <v>632</v>
      </c>
      <c r="O12" s="89" t="s">
        <v>741</v>
      </c>
      <c r="P12" s="89" t="s">
        <v>833</v>
      </c>
    </row>
    <row r="13" spans="1:16" x14ac:dyDescent="0.3">
      <c r="A13" s="81" t="s">
        <v>381</v>
      </c>
      <c r="B13" s="81" t="s">
        <v>834</v>
      </c>
      <c r="C13" s="82">
        <v>46262</v>
      </c>
      <c r="D13" s="82">
        <v>46354</v>
      </c>
      <c r="E13" s="82">
        <v>46262</v>
      </c>
      <c r="F13" s="82">
        <v>46354</v>
      </c>
      <c r="G13" s="81">
        <f>D13-E13</f>
        <v>92</v>
      </c>
      <c r="H13" s="81">
        <f>G13/360</f>
        <v>0.25555555555555554</v>
      </c>
      <c r="I13" s="91">
        <v>50000000</v>
      </c>
      <c r="J13" s="86">
        <v>4.2000000000000003E-2</v>
      </c>
      <c r="K13" s="86">
        <f>'[1]Market Rates'!AH9</f>
        <v>3.8803125370789913E-2</v>
      </c>
      <c r="L13" s="92">
        <f>I13*(K13-J13)*H13</f>
        <v>-40848.953595462248</v>
      </c>
      <c r="M13" s="86">
        <f>'[1]Market Rates'!AF9</f>
        <v>3.85E-2</v>
      </c>
      <c r="N13" s="81">
        <f t="shared" ref="N13:N48" si="0">1/(1+M13*((D13-$B$2)/360))</f>
        <v>0.99025697168415194</v>
      </c>
      <c r="O13" s="92">
        <f t="shared" ref="O13:O48" si="1">IF(L13="","",L13*N13)</f>
        <v>-40450.961083908893</v>
      </c>
      <c r="P13" s="81" t="s">
        <v>835</v>
      </c>
    </row>
    <row r="14" spans="1:16" x14ac:dyDescent="0.3">
      <c r="A14" s="81" t="s">
        <v>381</v>
      </c>
      <c r="B14" s="81" t="s">
        <v>834</v>
      </c>
      <c r="C14" s="82">
        <v>46262</v>
      </c>
      <c r="D14" s="82">
        <v>46446</v>
      </c>
      <c r="E14" s="82">
        <v>46354</v>
      </c>
      <c r="F14" s="82">
        <v>46446</v>
      </c>
      <c r="G14" s="81">
        <f t="shared" ref="G14:G48" si="2">D14-E14</f>
        <v>92</v>
      </c>
      <c r="H14" s="81">
        <f t="shared" ref="H14:H48" si="3">G14/360</f>
        <v>0.25555555555555554</v>
      </c>
      <c r="I14" s="91">
        <v>50000000</v>
      </c>
      <c r="J14" s="86">
        <v>4.2000000000000003E-2</v>
      </c>
      <c r="K14" s="86">
        <f>'[1]Market Rates'!AH10</f>
        <v>4.0871459922340314E-2</v>
      </c>
      <c r="L14" s="92">
        <f t="shared" ref="L14:L35" si="4">I14*(K14-J14)*H14</f>
        <v>-14420.234325651574</v>
      </c>
      <c r="M14" s="86">
        <f>'[1]Market Rates'!AF10</f>
        <v>0.04</v>
      </c>
      <c r="N14" s="81">
        <f t="shared" si="0"/>
        <v>0.97996515679442509</v>
      </c>
      <c r="O14" s="92">
        <f t="shared" si="1"/>
        <v>-14131.327191949496</v>
      </c>
      <c r="P14" s="81" t="s">
        <v>835</v>
      </c>
    </row>
    <row r="15" spans="1:16" x14ac:dyDescent="0.3">
      <c r="A15" s="81" t="s">
        <v>381</v>
      </c>
      <c r="B15" s="81" t="s">
        <v>834</v>
      </c>
      <c r="C15" s="82">
        <v>46262</v>
      </c>
      <c r="D15" s="82">
        <v>46535</v>
      </c>
      <c r="E15" s="82">
        <v>46446</v>
      </c>
      <c r="F15" s="82">
        <v>46535</v>
      </c>
      <c r="G15" s="81">
        <f t="shared" si="2"/>
        <v>89</v>
      </c>
      <c r="H15" s="81">
        <f t="shared" si="3"/>
        <v>0.24722222222222223</v>
      </c>
      <c r="I15" s="91">
        <v>50000000</v>
      </c>
      <c r="J15" s="86">
        <v>4.2000000000000003E-2</v>
      </c>
      <c r="K15" s="86">
        <f>'[1]Market Rates'!AH11</f>
        <v>4.3782396897132259E-2</v>
      </c>
      <c r="L15" s="92">
        <f t="shared" si="4"/>
        <v>22032.406089551496</v>
      </c>
      <c r="M15" s="86">
        <f>'[1]Market Rates'!AF11</f>
        <v>4.1500000000000002E-2</v>
      </c>
      <c r="N15" s="81">
        <f t="shared" si="0"/>
        <v>0.9694893618740229</v>
      </c>
      <c r="O15" s="92">
        <f t="shared" si="1"/>
        <v>21360.183320308617</v>
      </c>
      <c r="P15" s="81" t="s">
        <v>835</v>
      </c>
    </row>
    <row r="16" spans="1:16" x14ac:dyDescent="0.3">
      <c r="A16" s="81" t="s">
        <v>381</v>
      </c>
      <c r="B16" s="81" t="s">
        <v>834</v>
      </c>
      <c r="C16" s="82">
        <v>46262</v>
      </c>
      <c r="D16" s="82">
        <v>46627</v>
      </c>
      <c r="E16" s="82">
        <v>46535</v>
      </c>
      <c r="F16" s="82">
        <v>46627</v>
      </c>
      <c r="G16" s="81">
        <f t="shared" si="2"/>
        <v>92</v>
      </c>
      <c r="H16" s="81">
        <f t="shared" si="3"/>
        <v>0.25555555555555554</v>
      </c>
      <c r="I16" s="91">
        <v>50000000</v>
      </c>
      <c r="J16" s="86">
        <v>4.2000000000000003E-2</v>
      </c>
      <c r="K16" s="86">
        <f>'[1]Market Rates'!AH12</f>
        <v>4.3585257166147251E-2</v>
      </c>
      <c r="L16" s="92">
        <f t="shared" si="4"/>
        <v>20256.063789659282</v>
      </c>
      <c r="M16" s="86">
        <f>'[1]Market Rates'!AF12</f>
        <v>4.2200000000000001E-2</v>
      </c>
      <c r="N16" s="81">
        <f t="shared" si="0"/>
        <v>0.95896942752188974</v>
      </c>
      <c r="O16" s="92">
        <f t="shared" si="1"/>
        <v>19424.945896216443</v>
      </c>
      <c r="P16" s="81" t="s">
        <v>835</v>
      </c>
    </row>
    <row r="17" spans="1:16" x14ac:dyDescent="0.3">
      <c r="A17" s="81" t="s">
        <v>381</v>
      </c>
      <c r="B17" s="81" t="s">
        <v>834</v>
      </c>
      <c r="C17" s="82">
        <v>46262</v>
      </c>
      <c r="D17" s="82">
        <v>46719</v>
      </c>
      <c r="E17" s="82">
        <v>46627</v>
      </c>
      <c r="F17" s="82">
        <v>46719</v>
      </c>
      <c r="G17" s="81">
        <f t="shared" si="2"/>
        <v>92</v>
      </c>
      <c r="H17" s="81">
        <f t="shared" si="3"/>
        <v>0.25555555555555554</v>
      </c>
      <c r="I17" s="91">
        <v>50000000</v>
      </c>
      <c r="J17" s="86">
        <v>4.2000000000000003E-2</v>
      </c>
      <c r="K17" s="86">
        <f t="shared" ref="K17" si="5">(K16+K15)/2</f>
        <v>4.3683827031639755E-2</v>
      </c>
      <c r="L17" s="92">
        <f t="shared" si="4"/>
        <v>21515.567626507942</v>
      </c>
      <c r="M17" s="86">
        <f>(M16+M15)/2</f>
        <v>4.1849999999999998E-2</v>
      </c>
      <c r="N17" s="81">
        <f t="shared" si="0"/>
        <v>0.94955376907564493</v>
      </c>
      <c r="O17" s="92">
        <f t="shared" si="1"/>
        <v>20430.188333552545</v>
      </c>
      <c r="P17" s="81" t="s">
        <v>835</v>
      </c>
    </row>
    <row r="18" spans="1:16" x14ac:dyDescent="0.3">
      <c r="A18" s="81" t="s">
        <v>381</v>
      </c>
      <c r="B18" s="81" t="s">
        <v>834</v>
      </c>
      <c r="C18" s="82">
        <v>46262</v>
      </c>
      <c r="D18" s="82">
        <v>46811</v>
      </c>
      <c r="E18" s="82">
        <v>46719</v>
      </c>
      <c r="F18" s="82">
        <v>46811</v>
      </c>
      <c r="G18" s="81">
        <f t="shared" si="2"/>
        <v>92</v>
      </c>
      <c r="H18" s="81">
        <f t="shared" si="3"/>
        <v>0.25555555555555554</v>
      </c>
      <c r="I18" s="91">
        <v>50000000</v>
      </c>
      <c r="J18" s="86">
        <v>4.2000000000000003E-2</v>
      </c>
      <c r="K18" s="86">
        <f>'[1]Market Rates'!AH13</f>
        <v>4.4115302744089924E-2</v>
      </c>
      <c r="L18" s="92">
        <f t="shared" si="4"/>
        <v>27028.868396704547</v>
      </c>
      <c r="M18" s="86">
        <f>'[1]Market Rates'!AF13</f>
        <v>4.2999999999999997E-2</v>
      </c>
      <c r="N18" s="81">
        <f t="shared" si="0"/>
        <v>0.9384604556225512</v>
      </c>
      <c r="O18" s="92">
        <f t="shared" si="1"/>
        <v>25365.524150533325</v>
      </c>
      <c r="P18" s="81" t="s">
        <v>835</v>
      </c>
    </row>
    <row r="19" spans="1:16" x14ac:dyDescent="0.3">
      <c r="A19" s="81" t="s">
        <v>381</v>
      </c>
      <c r="B19" s="81" t="s">
        <v>834</v>
      </c>
      <c r="C19" s="82">
        <v>46262</v>
      </c>
      <c r="D19" s="82">
        <v>46901</v>
      </c>
      <c r="E19" s="82">
        <v>46811</v>
      </c>
      <c r="F19" s="82">
        <v>46901</v>
      </c>
      <c r="G19" s="81">
        <f t="shared" si="2"/>
        <v>90</v>
      </c>
      <c r="H19" s="81">
        <f t="shared" si="3"/>
        <v>0.25</v>
      </c>
      <c r="I19" s="91">
        <v>50000000</v>
      </c>
      <c r="J19" s="86">
        <v>4.2000000000000003E-2</v>
      </c>
      <c r="K19" s="86">
        <f t="shared" ref="K19" si="6">(K18+K17)/2</f>
        <v>4.3899564887864839E-2</v>
      </c>
      <c r="L19" s="92">
        <f t="shared" si="4"/>
        <v>23744.561098310456</v>
      </c>
      <c r="M19" s="86">
        <f>(M18+M17)/2</f>
        <v>4.2424999999999997E-2</v>
      </c>
      <c r="N19" s="81">
        <f t="shared" si="0"/>
        <v>0.92996924707946071</v>
      </c>
      <c r="O19" s="92">
        <f t="shared" si="1"/>
        <v>22081.711606828027</v>
      </c>
      <c r="P19" s="81" t="s">
        <v>835</v>
      </c>
    </row>
    <row r="20" spans="1:16" x14ac:dyDescent="0.3">
      <c r="A20" s="81" t="s">
        <v>381</v>
      </c>
      <c r="B20" s="81" t="s">
        <v>834</v>
      </c>
      <c r="C20" s="82">
        <v>46262</v>
      </c>
      <c r="D20" s="82">
        <v>46993</v>
      </c>
      <c r="E20" s="82">
        <v>46901</v>
      </c>
      <c r="F20" s="82">
        <v>46993</v>
      </c>
      <c r="G20" s="81">
        <f t="shared" si="2"/>
        <v>92</v>
      </c>
      <c r="H20" s="81">
        <f t="shared" si="3"/>
        <v>0.25555555555555554</v>
      </c>
      <c r="I20" s="91">
        <v>50000000</v>
      </c>
      <c r="J20" s="86">
        <v>4.2000000000000003E-2</v>
      </c>
      <c r="K20" s="86">
        <f>'[1]Market Rates'!AH14</f>
        <v>4.6465984388196713E-2</v>
      </c>
      <c r="L20" s="92">
        <f t="shared" si="4"/>
        <v>57065.356071402399</v>
      </c>
      <c r="M20" s="86">
        <f>'[1]Market Rates'!AF14</f>
        <v>4.3999999999999997E-2</v>
      </c>
      <c r="N20" s="81">
        <f t="shared" si="0"/>
        <v>0.91798329270407275</v>
      </c>
      <c r="O20" s="92">
        <f t="shared" si="1"/>
        <v>52385.043465756324</v>
      </c>
      <c r="P20" s="81" t="s">
        <v>835</v>
      </c>
    </row>
    <row r="21" spans="1:16" x14ac:dyDescent="0.3">
      <c r="A21" s="81" t="s">
        <v>381</v>
      </c>
      <c r="B21" s="81" t="s">
        <v>834</v>
      </c>
      <c r="C21" s="82">
        <v>46262</v>
      </c>
      <c r="D21" s="82">
        <v>47085</v>
      </c>
      <c r="E21" s="82">
        <v>46993</v>
      </c>
      <c r="F21" s="82">
        <v>47085</v>
      </c>
      <c r="G21" s="81">
        <f t="shared" si="2"/>
        <v>92</v>
      </c>
      <c r="H21" s="81">
        <f t="shared" si="3"/>
        <v>0.25555555555555554</v>
      </c>
      <c r="I21" s="91">
        <v>50000000</v>
      </c>
      <c r="J21" s="86">
        <v>4.2000000000000003E-2</v>
      </c>
      <c r="K21" s="86">
        <f>(K20+K19)/2</f>
        <v>4.5182774638030776E-2</v>
      </c>
      <c r="L21" s="92">
        <f t="shared" si="4"/>
        <v>40668.787041504322</v>
      </c>
      <c r="M21" s="86">
        <f>(M20+M19)/2</f>
        <v>4.3212500000000001E-2</v>
      </c>
      <c r="N21" s="81">
        <f t="shared" si="0"/>
        <v>0.91009318943453854</v>
      </c>
      <c r="O21" s="92">
        <f t="shared" si="1"/>
        <v>37012.386109036699</v>
      </c>
      <c r="P21" s="81" t="s">
        <v>835</v>
      </c>
    </row>
    <row r="22" spans="1:16" x14ac:dyDescent="0.3">
      <c r="A22" s="81" t="s">
        <v>381</v>
      </c>
      <c r="B22" s="81" t="s">
        <v>834</v>
      </c>
      <c r="C22" s="82">
        <v>46262</v>
      </c>
      <c r="D22" s="82">
        <v>47177</v>
      </c>
      <c r="E22" s="82">
        <v>47085</v>
      </c>
      <c r="F22" s="82">
        <v>47177</v>
      </c>
      <c r="G22" s="81">
        <f t="shared" si="2"/>
        <v>92</v>
      </c>
      <c r="H22" s="81">
        <f t="shared" si="3"/>
        <v>0.25555555555555554</v>
      </c>
      <c r="I22" s="91">
        <v>50000000</v>
      </c>
      <c r="J22" s="86">
        <v>4.2000000000000003E-2</v>
      </c>
      <c r="K22" s="86">
        <f t="shared" ref="K22:K32" si="7">(K21+K20)/2</f>
        <v>4.5824379513113744E-2</v>
      </c>
      <c r="L22" s="92">
        <f t="shared" si="4"/>
        <v>48867.071556453368</v>
      </c>
      <c r="M22" s="86">
        <f>(M21+M20)/2</f>
        <v>4.3606249999999999E-2</v>
      </c>
      <c r="N22" s="81">
        <f t="shared" si="0"/>
        <v>0.90022568939353631</v>
      </c>
      <c r="O22" s="92">
        <f t="shared" si="1"/>
        <v>43991.393180551502</v>
      </c>
      <c r="P22" s="81" t="s">
        <v>835</v>
      </c>
    </row>
    <row r="23" spans="1:16" x14ac:dyDescent="0.3">
      <c r="A23" s="81" t="s">
        <v>381</v>
      </c>
      <c r="B23" s="81" t="s">
        <v>834</v>
      </c>
      <c r="C23" s="82">
        <v>46262</v>
      </c>
      <c r="D23" s="82">
        <v>47266</v>
      </c>
      <c r="E23" s="82">
        <v>47177</v>
      </c>
      <c r="F23" s="82">
        <v>47266</v>
      </c>
      <c r="G23" s="81">
        <f t="shared" si="2"/>
        <v>89</v>
      </c>
      <c r="H23" s="81">
        <f t="shared" si="3"/>
        <v>0.24722222222222223</v>
      </c>
      <c r="I23" s="91">
        <v>50000000</v>
      </c>
      <c r="J23" s="86">
        <v>4.2000000000000003E-2</v>
      </c>
      <c r="K23" s="86">
        <f t="shared" si="7"/>
        <v>4.550357707557226E-2</v>
      </c>
      <c r="L23" s="92">
        <f t="shared" si="4"/>
        <v>43308.10551749041</v>
      </c>
      <c r="M23" s="86">
        <f>(M22+M21)/2</f>
        <v>4.3409375E-2</v>
      </c>
      <c r="N23" s="81">
        <f t="shared" si="0"/>
        <v>0.89200979439143269</v>
      </c>
      <c r="O23" s="92">
        <f t="shared" si="1"/>
        <v>38631.254298139094</v>
      </c>
      <c r="P23" s="81" t="s">
        <v>835</v>
      </c>
    </row>
    <row r="24" spans="1:16" x14ac:dyDescent="0.3">
      <c r="A24" s="81" t="s">
        <v>381</v>
      </c>
      <c r="B24" s="81" t="s">
        <v>834</v>
      </c>
      <c r="C24" s="82">
        <v>46262</v>
      </c>
      <c r="D24" s="82">
        <v>47358</v>
      </c>
      <c r="E24" s="82">
        <v>47266</v>
      </c>
      <c r="F24" s="82">
        <v>47358</v>
      </c>
      <c r="G24" s="81">
        <f t="shared" si="2"/>
        <v>92</v>
      </c>
      <c r="H24" s="81">
        <f t="shared" si="3"/>
        <v>0.25555555555555554</v>
      </c>
      <c r="I24" s="91">
        <v>50000000</v>
      </c>
      <c r="J24" s="86">
        <v>4.2000000000000003E-2</v>
      </c>
      <c r="K24" s="86">
        <f>'[1]Market Rates'!AH15</f>
        <v>4.7002874480703172E-2</v>
      </c>
      <c r="L24" s="92">
        <f t="shared" si="4"/>
        <v>63925.618364540489</v>
      </c>
      <c r="M24" s="86">
        <f>'[1]Market Rates'!AF15</f>
        <v>4.4999999999999998E-2</v>
      </c>
      <c r="N24" s="81">
        <f t="shared" si="0"/>
        <v>0.87950747581354438</v>
      </c>
      <c r="O24" s="92">
        <f t="shared" si="1"/>
        <v>56223.059247616962</v>
      </c>
      <c r="P24" s="81" t="s">
        <v>835</v>
      </c>
    </row>
    <row r="25" spans="1:16" x14ac:dyDescent="0.3">
      <c r="A25" s="81" t="s">
        <v>381</v>
      </c>
      <c r="B25" s="81" t="s">
        <v>834</v>
      </c>
      <c r="C25" s="82">
        <v>46262</v>
      </c>
      <c r="D25" s="82">
        <v>47450</v>
      </c>
      <c r="E25" s="82">
        <v>47358</v>
      </c>
      <c r="F25" s="82">
        <v>47450</v>
      </c>
      <c r="G25" s="81">
        <f t="shared" si="2"/>
        <v>92</v>
      </c>
      <c r="H25" s="81">
        <f t="shared" si="3"/>
        <v>0.25555555555555554</v>
      </c>
      <c r="I25" s="91">
        <v>50000000</v>
      </c>
      <c r="J25" s="86">
        <v>4.2000000000000003E-2</v>
      </c>
      <c r="K25" s="86">
        <f t="shared" si="7"/>
        <v>4.6253225778137716E-2</v>
      </c>
      <c r="L25" s="92">
        <f t="shared" si="4"/>
        <v>54346.773831759667</v>
      </c>
      <c r="M25" s="86">
        <f t="shared" ref="M25:M31" si="8">(M24+M23)/2</f>
        <v>4.4204687499999999E-2</v>
      </c>
      <c r="N25" s="81">
        <f t="shared" si="0"/>
        <v>0.87269518134537694</v>
      </c>
      <c r="O25" s="92">
        <f t="shared" si="1"/>
        <v>47428.16764464369</v>
      </c>
      <c r="P25" s="81" t="s">
        <v>835</v>
      </c>
    </row>
    <row r="26" spans="1:16" x14ac:dyDescent="0.3">
      <c r="A26" s="81" t="s">
        <v>381</v>
      </c>
      <c r="B26" s="81" t="s">
        <v>834</v>
      </c>
      <c r="C26" s="82">
        <v>46262</v>
      </c>
      <c r="D26" s="82">
        <v>47542</v>
      </c>
      <c r="E26" s="82">
        <v>47450</v>
      </c>
      <c r="F26" s="82">
        <v>47542</v>
      </c>
      <c r="G26" s="81">
        <f t="shared" si="2"/>
        <v>92</v>
      </c>
      <c r="H26" s="81">
        <f t="shared" si="3"/>
        <v>0.25555555555555554</v>
      </c>
      <c r="I26" s="91">
        <v>50000000</v>
      </c>
      <c r="J26" s="86">
        <v>4.2000000000000003E-2</v>
      </c>
      <c r="K26" s="86">
        <f t="shared" si="7"/>
        <v>4.6628050129420444E-2</v>
      </c>
      <c r="L26" s="92">
        <f t="shared" si="4"/>
        <v>59136.196098150074</v>
      </c>
      <c r="M26" s="86">
        <f t="shared" si="8"/>
        <v>4.4602343749999995E-2</v>
      </c>
      <c r="N26" s="81">
        <f t="shared" si="0"/>
        <v>0.86312099757606853</v>
      </c>
      <c r="O26" s="92">
        <f t="shared" si="1"/>
        <v>51041.692569089304</v>
      </c>
      <c r="P26" s="81" t="s">
        <v>835</v>
      </c>
    </row>
    <row r="27" spans="1:16" x14ac:dyDescent="0.3">
      <c r="A27" s="81" t="s">
        <v>381</v>
      </c>
      <c r="B27" s="81" t="s">
        <v>834</v>
      </c>
      <c r="C27" s="82">
        <v>46262</v>
      </c>
      <c r="D27" s="82">
        <v>47631</v>
      </c>
      <c r="E27" s="82">
        <v>47542</v>
      </c>
      <c r="F27" s="82">
        <v>47631</v>
      </c>
      <c r="G27" s="81">
        <f t="shared" si="2"/>
        <v>89</v>
      </c>
      <c r="H27" s="81">
        <f t="shared" si="3"/>
        <v>0.24722222222222223</v>
      </c>
      <c r="I27" s="91">
        <v>50000000</v>
      </c>
      <c r="J27" s="86">
        <v>4.2000000000000003E-2</v>
      </c>
      <c r="K27" s="86">
        <f t="shared" si="7"/>
        <v>4.6440637953779076E-2</v>
      </c>
      <c r="L27" s="92">
        <f t="shared" si="4"/>
        <v>54891.219150880221</v>
      </c>
      <c r="M27" s="86">
        <f t="shared" si="8"/>
        <v>4.4403515625000001E-2</v>
      </c>
      <c r="N27" s="81">
        <f t="shared" si="0"/>
        <v>0.85553686596777645</v>
      </c>
      <c r="O27" s="92">
        <f t="shared" si="1"/>
        <v>46961.461601494455</v>
      </c>
      <c r="P27" s="81" t="s">
        <v>835</v>
      </c>
    </row>
    <row r="28" spans="1:16" x14ac:dyDescent="0.3">
      <c r="A28" s="81" t="s">
        <v>381</v>
      </c>
      <c r="B28" s="81" t="s">
        <v>834</v>
      </c>
      <c r="C28" s="82">
        <v>46262</v>
      </c>
      <c r="D28" s="82">
        <v>47723</v>
      </c>
      <c r="E28" s="82">
        <v>47631</v>
      </c>
      <c r="F28" s="82">
        <v>47723</v>
      </c>
      <c r="G28" s="81">
        <f t="shared" si="2"/>
        <v>92</v>
      </c>
      <c r="H28" s="81">
        <f t="shared" si="3"/>
        <v>0.25555555555555554</v>
      </c>
      <c r="I28" s="91">
        <v>50000000</v>
      </c>
      <c r="J28" s="86">
        <v>4.2000000000000003E-2</v>
      </c>
      <c r="K28" s="86">
        <f t="shared" si="7"/>
        <v>4.6534344041599757E-2</v>
      </c>
      <c r="L28" s="92">
        <f t="shared" si="4"/>
        <v>57938.840531552407</v>
      </c>
      <c r="M28" s="86">
        <f t="shared" si="8"/>
        <v>4.4502929687499998E-2</v>
      </c>
      <c r="N28" s="81">
        <f t="shared" si="0"/>
        <v>0.84702139460376924</v>
      </c>
      <c r="O28" s="92">
        <f t="shared" si="1"/>
        <v>49075.437508760908</v>
      </c>
      <c r="P28" s="81" t="s">
        <v>835</v>
      </c>
    </row>
    <row r="29" spans="1:16" x14ac:dyDescent="0.3">
      <c r="A29" s="81" t="s">
        <v>381</v>
      </c>
      <c r="B29" s="81" t="s">
        <v>834</v>
      </c>
      <c r="C29" s="82">
        <v>46262</v>
      </c>
      <c r="D29" s="82">
        <v>47815</v>
      </c>
      <c r="E29" s="82">
        <v>47723</v>
      </c>
      <c r="F29" s="82">
        <v>47815</v>
      </c>
      <c r="G29" s="81">
        <f t="shared" si="2"/>
        <v>92</v>
      </c>
      <c r="H29" s="81">
        <f t="shared" si="3"/>
        <v>0.25555555555555554</v>
      </c>
      <c r="I29" s="91">
        <v>50000000</v>
      </c>
      <c r="J29" s="86">
        <v>4.2000000000000003E-2</v>
      </c>
      <c r="K29" s="86">
        <f t="shared" si="7"/>
        <v>4.6487490997689417E-2</v>
      </c>
      <c r="L29" s="92">
        <f t="shared" si="4"/>
        <v>57340.162748253621</v>
      </c>
      <c r="M29" s="86">
        <f t="shared" si="8"/>
        <v>4.4453222656249999E-2</v>
      </c>
      <c r="N29" s="81">
        <f t="shared" si="0"/>
        <v>0.83909070998337287</v>
      </c>
      <c r="O29" s="92">
        <f t="shared" si="1"/>
        <v>48113.597870994279</v>
      </c>
      <c r="P29" s="81" t="s">
        <v>835</v>
      </c>
    </row>
    <row r="30" spans="1:16" x14ac:dyDescent="0.3">
      <c r="A30" s="81" t="s">
        <v>381</v>
      </c>
      <c r="B30" s="81" t="s">
        <v>834</v>
      </c>
      <c r="C30" s="82">
        <v>46262</v>
      </c>
      <c r="D30" s="82">
        <v>47907</v>
      </c>
      <c r="E30" s="82">
        <v>47815</v>
      </c>
      <c r="F30" s="82">
        <v>47907</v>
      </c>
      <c r="G30" s="81">
        <f t="shared" si="2"/>
        <v>92</v>
      </c>
      <c r="H30" s="81">
        <f t="shared" si="3"/>
        <v>0.25555555555555554</v>
      </c>
      <c r="I30" s="91">
        <v>50000000</v>
      </c>
      <c r="J30" s="86">
        <v>4.2000000000000003E-2</v>
      </c>
      <c r="K30" s="86">
        <f>'[1]Market Rates'!AH16</f>
        <v>4.7320000598229495E-2</v>
      </c>
      <c r="L30" s="92">
        <f t="shared" si="4"/>
        <v>67977.785421821289</v>
      </c>
      <c r="M30" s="86">
        <f t="shared" si="8"/>
        <v>4.4478076171874999E-2</v>
      </c>
      <c r="N30" s="81">
        <f t="shared" si="0"/>
        <v>0.83108932424184878</v>
      </c>
      <c r="O30" s="92">
        <f t="shared" si="1"/>
        <v>56495.611749678857</v>
      </c>
      <c r="P30" s="81" t="s">
        <v>835</v>
      </c>
    </row>
    <row r="31" spans="1:16" x14ac:dyDescent="0.3">
      <c r="A31" s="81" t="s">
        <v>381</v>
      </c>
      <c r="B31" s="81" t="s">
        <v>834</v>
      </c>
      <c r="C31" s="82">
        <v>46262</v>
      </c>
      <c r="D31" s="82">
        <v>47996</v>
      </c>
      <c r="E31" s="82">
        <v>47907</v>
      </c>
      <c r="F31" s="82">
        <v>47996</v>
      </c>
      <c r="G31" s="81">
        <f t="shared" si="2"/>
        <v>89</v>
      </c>
      <c r="H31" s="81">
        <f t="shared" si="3"/>
        <v>0.24722222222222223</v>
      </c>
      <c r="I31" s="91">
        <v>50000000</v>
      </c>
      <c r="J31" s="86">
        <v>4.2000000000000003E-2</v>
      </c>
      <c r="K31" s="86">
        <f t="shared" si="7"/>
        <v>4.6903745797959459E-2</v>
      </c>
      <c r="L31" s="92">
        <f t="shared" si="4"/>
        <v>60615.746669221066</v>
      </c>
      <c r="M31" s="86">
        <f t="shared" si="8"/>
        <v>4.4465649414062502E-2</v>
      </c>
      <c r="N31" s="81">
        <f t="shared" si="0"/>
        <v>0.82360368343302193</v>
      </c>
      <c r="O31" s="92">
        <f t="shared" si="1"/>
        <v>49923.352230813398</v>
      </c>
      <c r="P31" s="81" t="s">
        <v>835</v>
      </c>
    </row>
    <row r="32" spans="1:16" x14ac:dyDescent="0.3">
      <c r="A32" s="81" t="s">
        <v>381</v>
      </c>
      <c r="B32" s="81" t="s">
        <v>834</v>
      </c>
      <c r="C32" s="82">
        <v>46262</v>
      </c>
      <c r="D32" s="82">
        <v>48088</v>
      </c>
      <c r="E32" s="82">
        <v>47996</v>
      </c>
      <c r="F32" s="82">
        <v>48088</v>
      </c>
      <c r="G32" s="81">
        <f t="shared" si="2"/>
        <v>92</v>
      </c>
      <c r="H32" s="81">
        <f t="shared" si="3"/>
        <v>0.25555555555555554</v>
      </c>
      <c r="I32" s="91">
        <v>50000000</v>
      </c>
      <c r="J32" s="86">
        <v>4.2000000000000003E-2</v>
      </c>
      <c r="K32" s="86">
        <f t="shared" si="7"/>
        <v>4.7111873198094477E-2</v>
      </c>
      <c r="L32" s="92">
        <f t="shared" si="4"/>
        <v>65318.379753429392</v>
      </c>
      <c r="M32" s="86">
        <f>'[1]Market Rates'!AF16</f>
        <v>4.5499999999999999E-2</v>
      </c>
      <c r="N32" s="81">
        <f t="shared" si="0"/>
        <v>0.81248885648964186</v>
      </c>
      <c r="O32" s="92">
        <f t="shared" si="1"/>
        <v>53070.455673620025</v>
      </c>
      <c r="P32" s="81" t="s">
        <v>835</v>
      </c>
    </row>
    <row r="33" spans="1:16" x14ac:dyDescent="0.3">
      <c r="A33" s="81" t="s">
        <v>395</v>
      </c>
      <c r="B33" s="81" t="s">
        <v>807</v>
      </c>
      <c r="C33" s="82">
        <v>46262</v>
      </c>
      <c r="D33" s="82">
        <v>46627</v>
      </c>
      <c r="E33" s="82">
        <v>46262</v>
      </c>
      <c r="F33" s="82">
        <v>46627</v>
      </c>
      <c r="G33" s="81">
        <f t="shared" si="2"/>
        <v>365</v>
      </c>
      <c r="H33" s="81">
        <f t="shared" si="3"/>
        <v>1.0138888888888888</v>
      </c>
      <c r="I33" s="91">
        <v>35000000</v>
      </c>
      <c r="J33" s="86">
        <v>3.95E-2</v>
      </c>
      <c r="K33" s="86">
        <f>'[1]Market Rates'!AH12</f>
        <v>4.3585257166147251E-2</v>
      </c>
      <c r="L33" s="92">
        <f t="shared" si="4"/>
        <v>144969.88971536423</v>
      </c>
      <c r="M33" s="86">
        <f>'[1]Market Rates'!AF12</f>
        <v>4.2200000000000001E-2</v>
      </c>
      <c r="N33" s="81">
        <f t="shared" si="0"/>
        <v>0.95896942752188974</v>
      </c>
      <c r="O33" s="92">
        <f t="shared" si="1"/>
        <v>139021.69214825434</v>
      </c>
      <c r="P33" s="81" t="s">
        <v>835</v>
      </c>
    </row>
    <row r="34" spans="1:16" x14ac:dyDescent="0.3">
      <c r="A34" s="81" t="s">
        <v>395</v>
      </c>
      <c r="B34" s="81" t="s">
        <v>807</v>
      </c>
      <c r="C34" s="82">
        <v>46262</v>
      </c>
      <c r="D34" s="82">
        <v>46993</v>
      </c>
      <c r="E34" s="82">
        <v>46627</v>
      </c>
      <c r="F34" s="82">
        <v>46993</v>
      </c>
      <c r="G34" s="81">
        <f t="shared" si="2"/>
        <v>366</v>
      </c>
      <c r="H34" s="81">
        <f t="shared" si="3"/>
        <v>1.0166666666666666</v>
      </c>
      <c r="I34" s="91">
        <v>35000000</v>
      </c>
      <c r="J34" s="86">
        <v>3.95E-2</v>
      </c>
      <c r="K34" s="86">
        <f>'[1]Market Rates'!AH14</f>
        <v>4.6465984388196713E-2</v>
      </c>
      <c r="L34" s="92">
        <f t="shared" si="4"/>
        <v>247872.94447999966</v>
      </c>
      <c r="M34" s="86">
        <f>'[1]Market Rates'!AF14</f>
        <v>4.3999999999999997E-2</v>
      </c>
      <c r="N34" s="81">
        <f t="shared" si="0"/>
        <v>0.91798329270407275</v>
      </c>
      <c r="O34" s="92">
        <f t="shared" si="1"/>
        <v>227543.2217460039</v>
      </c>
      <c r="P34" s="81" t="s">
        <v>835</v>
      </c>
    </row>
    <row r="35" spans="1:16" x14ac:dyDescent="0.3">
      <c r="A35" s="81" t="s">
        <v>395</v>
      </c>
      <c r="B35" s="81" t="s">
        <v>807</v>
      </c>
      <c r="C35" s="82">
        <v>46262</v>
      </c>
      <c r="D35" s="82">
        <v>47358</v>
      </c>
      <c r="E35" s="82">
        <v>46993</v>
      </c>
      <c r="F35" s="82">
        <v>47358</v>
      </c>
      <c r="G35" s="81">
        <f t="shared" si="2"/>
        <v>365</v>
      </c>
      <c r="H35" s="81">
        <f t="shared" si="3"/>
        <v>1.0138888888888888</v>
      </c>
      <c r="I35" s="91">
        <v>35000000</v>
      </c>
      <c r="J35" s="86">
        <v>3.95E-2</v>
      </c>
      <c r="K35" s="86">
        <f>'[1]Market Rates'!AH15</f>
        <v>4.7002874480703172E-2</v>
      </c>
      <c r="L35" s="92">
        <f t="shared" si="4"/>
        <v>266247.8374749528</v>
      </c>
      <c r="M35" s="86">
        <f>'[1]Market Rates'!AF15</f>
        <v>4.4999999999999998E-2</v>
      </c>
      <c r="N35" s="81">
        <f t="shared" si="0"/>
        <v>0.87950747581354438</v>
      </c>
      <c r="O35" s="92">
        <f t="shared" si="1"/>
        <v>234166.96347841056</v>
      </c>
      <c r="P35" s="81" t="s">
        <v>835</v>
      </c>
    </row>
    <row r="36" spans="1:16" x14ac:dyDescent="0.3">
      <c r="A36" s="81" t="s">
        <v>421</v>
      </c>
      <c r="B36" s="81" t="s">
        <v>836</v>
      </c>
      <c r="C36" s="82">
        <v>46262</v>
      </c>
      <c r="D36" s="82">
        <v>46354</v>
      </c>
      <c r="E36" s="82">
        <v>46262</v>
      </c>
      <c r="F36" s="82">
        <v>46354</v>
      </c>
      <c r="G36" s="81">
        <f t="shared" si="2"/>
        <v>92</v>
      </c>
      <c r="H36" s="81">
        <f t="shared" si="3"/>
        <v>0.25555555555555554</v>
      </c>
      <c r="I36" s="91">
        <v>20000000</v>
      </c>
      <c r="J36" s="86">
        <f t="shared" ref="J36:J47" si="9">$B$5</f>
        <v>4.4999999999999998E-2</v>
      </c>
      <c r="K36" s="86">
        <f>'[1]Market Rates'!AH9</f>
        <v>3.8803125370789913E-2</v>
      </c>
      <c r="L36" s="92">
        <f t="shared" ref="L36:L47" si="10">IF($B$5="","",MAX(K36-J36,0)*I36*H36)</f>
        <v>0</v>
      </c>
      <c r="M36" s="86">
        <f>'[1]Market Rates'!AF9</f>
        <v>3.85E-2</v>
      </c>
      <c r="N36" s="81">
        <f t="shared" si="0"/>
        <v>0.99025697168415194</v>
      </c>
      <c r="O36" s="92">
        <f t="shared" si="1"/>
        <v>0</v>
      </c>
      <c r="P36" s="81" t="str">
        <f t="shared" ref="P36:P47" si="11">IF($B$5="","Enter cap strike in B5","OK")</f>
        <v>OK</v>
      </c>
    </row>
    <row r="37" spans="1:16" x14ac:dyDescent="0.3">
      <c r="A37" s="81" t="s">
        <v>421</v>
      </c>
      <c r="B37" s="81" t="s">
        <v>836</v>
      </c>
      <c r="C37" s="82">
        <v>46262</v>
      </c>
      <c r="D37" s="82">
        <v>46446</v>
      </c>
      <c r="E37" s="82">
        <v>46354</v>
      </c>
      <c r="F37" s="82">
        <v>46446</v>
      </c>
      <c r="G37" s="81">
        <f t="shared" si="2"/>
        <v>92</v>
      </c>
      <c r="H37" s="81">
        <f t="shared" si="3"/>
        <v>0.25555555555555554</v>
      </c>
      <c r="I37" s="91">
        <v>20000000</v>
      </c>
      <c r="J37" s="86">
        <f t="shared" si="9"/>
        <v>4.4999999999999998E-2</v>
      </c>
      <c r="K37" s="86">
        <f>'[1]Market Rates'!AH10</f>
        <v>4.0871459922340314E-2</v>
      </c>
      <c r="L37" s="92">
        <f t="shared" si="10"/>
        <v>0</v>
      </c>
      <c r="M37" s="86">
        <f>'[1]Market Rates'!AF10</f>
        <v>0.04</v>
      </c>
      <c r="N37" s="81">
        <f t="shared" si="0"/>
        <v>0.97996515679442509</v>
      </c>
      <c r="O37" s="92">
        <f t="shared" si="1"/>
        <v>0</v>
      </c>
      <c r="P37" s="81" t="str">
        <f t="shared" si="11"/>
        <v>OK</v>
      </c>
    </row>
    <row r="38" spans="1:16" x14ac:dyDescent="0.3">
      <c r="A38" s="81" t="s">
        <v>421</v>
      </c>
      <c r="B38" s="81" t="s">
        <v>836</v>
      </c>
      <c r="C38" s="82">
        <v>46262</v>
      </c>
      <c r="D38" s="82">
        <v>46535</v>
      </c>
      <c r="E38" s="82">
        <v>46446</v>
      </c>
      <c r="F38" s="82">
        <v>46535</v>
      </c>
      <c r="G38" s="81">
        <f t="shared" si="2"/>
        <v>89</v>
      </c>
      <c r="H38" s="81">
        <f t="shared" si="3"/>
        <v>0.24722222222222223</v>
      </c>
      <c r="I38" s="91">
        <v>20000000</v>
      </c>
      <c r="J38" s="86">
        <f t="shared" si="9"/>
        <v>4.4999999999999998E-2</v>
      </c>
      <c r="K38" s="86">
        <f>'[1]Market Rates'!AH11</f>
        <v>4.3782396897132259E-2</v>
      </c>
      <c r="L38" s="92">
        <f t="shared" si="10"/>
        <v>0</v>
      </c>
      <c r="M38" s="86">
        <f>'[1]Market Rates'!AF11</f>
        <v>4.1500000000000002E-2</v>
      </c>
      <c r="N38" s="81">
        <f t="shared" si="0"/>
        <v>0.9694893618740229</v>
      </c>
      <c r="O38" s="92">
        <f t="shared" si="1"/>
        <v>0</v>
      </c>
      <c r="P38" s="81" t="str">
        <f t="shared" si="11"/>
        <v>OK</v>
      </c>
    </row>
    <row r="39" spans="1:16" x14ac:dyDescent="0.3">
      <c r="A39" s="81" t="s">
        <v>421</v>
      </c>
      <c r="B39" s="81" t="s">
        <v>836</v>
      </c>
      <c r="C39" s="82">
        <v>46262</v>
      </c>
      <c r="D39" s="82">
        <v>46627</v>
      </c>
      <c r="E39" s="82">
        <v>46535</v>
      </c>
      <c r="F39" s="82">
        <v>46627</v>
      </c>
      <c r="G39" s="81">
        <f t="shared" si="2"/>
        <v>92</v>
      </c>
      <c r="H39" s="81">
        <f t="shared" si="3"/>
        <v>0.25555555555555554</v>
      </c>
      <c r="I39" s="91">
        <v>20000000</v>
      </c>
      <c r="J39" s="86">
        <f t="shared" si="9"/>
        <v>4.4999999999999998E-2</v>
      </c>
      <c r="K39" s="86">
        <f>'[1]Market Rates'!AH12</f>
        <v>4.3585257166147251E-2</v>
      </c>
      <c r="L39" s="92">
        <f t="shared" si="10"/>
        <v>0</v>
      </c>
      <c r="M39" s="86">
        <f>'[1]Market Rates'!AF12</f>
        <v>4.2200000000000001E-2</v>
      </c>
      <c r="N39" s="81">
        <f t="shared" si="0"/>
        <v>0.95896942752188974</v>
      </c>
      <c r="O39" s="92">
        <f t="shared" si="1"/>
        <v>0</v>
      </c>
      <c r="P39" s="81" t="str">
        <f t="shared" si="11"/>
        <v>OK</v>
      </c>
    </row>
    <row r="40" spans="1:16" x14ac:dyDescent="0.3">
      <c r="A40" s="81" t="s">
        <v>421</v>
      </c>
      <c r="B40" s="81" t="s">
        <v>836</v>
      </c>
      <c r="C40" s="82">
        <v>46262</v>
      </c>
      <c r="D40" s="82">
        <v>46719</v>
      </c>
      <c r="E40" s="82">
        <v>46627</v>
      </c>
      <c r="F40" s="82">
        <v>46719</v>
      </c>
      <c r="G40" s="81">
        <f t="shared" si="2"/>
        <v>92</v>
      </c>
      <c r="H40" s="81">
        <f t="shared" si="3"/>
        <v>0.25555555555555554</v>
      </c>
      <c r="I40" s="91">
        <v>20000000</v>
      </c>
      <c r="J40" s="86">
        <f t="shared" si="9"/>
        <v>4.4999999999999998E-2</v>
      </c>
      <c r="K40" s="86">
        <f>(K38+K39)/2</f>
        <v>4.3683827031639755E-2</v>
      </c>
      <c r="L40" s="92">
        <f t="shared" si="10"/>
        <v>0</v>
      </c>
      <c r="M40" s="86">
        <f>(M39+M38)/2</f>
        <v>4.1849999999999998E-2</v>
      </c>
      <c r="N40" s="81">
        <f t="shared" si="0"/>
        <v>0.94955376907564493</v>
      </c>
      <c r="O40" s="92">
        <f t="shared" si="1"/>
        <v>0</v>
      </c>
      <c r="P40" s="81" t="str">
        <f t="shared" si="11"/>
        <v>OK</v>
      </c>
    </row>
    <row r="41" spans="1:16" x14ac:dyDescent="0.3">
      <c r="A41" s="81" t="s">
        <v>421</v>
      </c>
      <c r="B41" s="81" t="s">
        <v>836</v>
      </c>
      <c r="C41" s="82">
        <v>46262</v>
      </c>
      <c r="D41" s="82">
        <v>46811</v>
      </c>
      <c r="E41" s="82">
        <v>46719</v>
      </c>
      <c r="F41" s="82">
        <v>46811</v>
      </c>
      <c r="G41" s="81">
        <f t="shared" si="2"/>
        <v>92</v>
      </c>
      <c r="H41" s="81">
        <f t="shared" si="3"/>
        <v>0.25555555555555554</v>
      </c>
      <c r="I41" s="91">
        <v>20000000</v>
      </c>
      <c r="J41" s="86">
        <f t="shared" si="9"/>
        <v>4.4999999999999998E-2</v>
      </c>
      <c r="K41" s="86">
        <f>'[1]Market Rates'!AH14</f>
        <v>4.6465984388196713E-2</v>
      </c>
      <c r="L41" s="92">
        <f t="shared" si="10"/>
        <v>7492.8090952276507</v>
      </c>
      <c r="M41" s="86">
        <f>'[1]Market Rates'!AF13</f>
        <v>4.2999999999999997E-2</v>
      </c>
      <c r="N41" s="81">
        <f t="shared" si="0"/>
        <v>0.9384604556225512</v>
      </c>
      <c r="O41" s="92">
        <f t="shared" si="1"/>
        <v>7031.7050374001365</v>
      </c>
      <c r="P41" s="81" t="str">
        <f t="shared" si="11"/>
        <v>OK</v>
      </c>
    </row>
    <row r="42" spans="1:16" x14ac:dyDescent="0.3">
      <c r="A42" s="81" t="s">
        <v>421</v>
      </c>
      <c r="B42" s="81" t="s">
        <v>836</v>
      </c>
      <c r="C42" s="82">
        <v>46262</v>
      </c>
      <c r="D42" s="82">
        <v>46901</v>
      </c>
      <c r="E42" s="82">
        <v>46811</v>
      </c>
      <c r="F42" s="82">
        <v>46901</v>
      </c>
      <c r="G42" s="81">
        <f t="shared" si="2"/>
        <v>90</v>
      </c>
      <c r="H42" s="81">
        <f t="shared" si="3"/>
        <v>0.25</v>
      </c>
      <c r="I42" s="91">
        <v>20000000</v>
      </c>
      <c r="J42" s="86">
        <f t="shared" si="9"/>
        <v>4.4999999999999998E-2</v>
      </c>
      <c r="K42" s="86">
        <f>(K40+K41)/2</f>
        <v>4.5074905709918234E-2</v>
      </c>
      <c r="L42" s="92">
        <f t="shared" si="10"/>
        <v>374.52854959117707</v>
      </c>
      <c r="M42" s="86">
        <f>(M41+M40)/2</f>
        <v>4.2424999999999997E-2</v>
      </c>
      <c r="N42" s="81">
        <f t="shared" si="0"/>
        <v>0.92996924707946071</v>
      </c>
      <c r="O42" s="92">
        <f t="shared" si="1"/>
        <v>348.3000332730694</v>
      </c>
      <c r="P42" s="81" t="str">
        <f t="shared" si="11"/>
        <v>OK</v>
      </c>
    </row>
    <row r="43" spans="1:16" x14ac:dyDescent="0.3">
      <c r="A43" s="81" t="s">
        <v>421</v>
      </c>
      <c r="B43" s="81" t="s">
        <v>836</v>
      </c>
      <c r="C43" s="82">
        <v>46262</v>
      </c>
      <c r="D43" s="82">
        <v>46993</v>
      </c>
      <c r="E43" s="82">
        <v>46901</v>
      </c>
      <c r="F43" s="82">
        <v>46993</v>
      </c>
      <c r="G43" s="81">
        <f t="shared" si="2"/>
        <v>92</v>
      </c>
      <c r="H43" s="81">
        <f t="shared" si="3"/>
        <v>0.25555555555555554</v>
      </c>
      <c r="I43" s="91">
        <v>20000000</v>
      </c>
      <c r="J43" s="86">
        <f t="shared" si="9"/>
        <v>4.4999999999999998E-2</v>
      </c>
      <c r="K43" s="86">
        <f>'[1]Market Rates'!AH15</f>
        <v>4.7002874480703172E-2</v>
      </c>
      <c r="L43" s="92">
        <f t="shared" si="10"/>
        <v>10236.914012482885</v>
      </c>
      <c r="M43" s="86">
        <f>'[1]Market Rates'!AF14</f>
        <v>4.3999999999999997E-2</v>
      </c>
      <c r="N43" s="81">
        <f t="shared" si="0"/>
        <v>0.91798329270407275</v>
      </c>
      <c r="O43" s="92">
        <f t="shared" si="1"/>
        <v>9397.316032307499</v>
      </c>
      <c r="P43" s="81" t="str">
        <f t="shared" si="11"/>
        <v>OK</v>
      </c>
    </row>
    <row r="44" spans="1:16" x14ac:dyDescent="0.3">
      <c r="A44" s="81" t="s">
        <v>421</v>
      </c>
      <c r="B44" s="81" t="s">
        <v>836</v>
      </c>
      <c r="C44" s="82">
        <v>46262</v>
      </c>
      <c r="D44" s="82">
        <v>47085</v>
      </c>
      <c r="E44" s="82">
        <v>46993</v>
      </c>
      <c r="F44" s="82">
        <v>47085</v>
      </c>
      <c r="G44" s="81">
        <f t="shared" si="2"/>
        <v>92</v>
      </c>
      <c r="H44" s="81">
        <f t="shared" si="3"/>
        <v>0.25555555555555554</v>
      </c>
      <c r="I44" s="91">
        <v>20000000</v>
      </c>
      <c r="J44" s="86">
        <f t="shared" si="9"/>
        <v>4.4999999999999998E-2</v>
      </c>
      <c r="K44" s="86">
        <f>(K42+K43)/2</f>
        <v>4.6038890095310703E-2</v>
      </c>
      <c r="L44" s="92">
        <f t="shared" si="10"/>
        <v>5309.8827093658219</v>
      </c>
      <c r="M44" s="86">
        <f>(M43+M42)/2</f>
        <v>4.3212500000000001E-2</v>
      </c>
      <c r="N44" s="81">
        <f t="shared" si="0"/>
        <v>0.91009318943453854</v>
      </c>
      <c r="O44" s="92">
        <f t="shared" si="1"/>
        <v>4832.4880904900501</v>
      </c>
      <c r="P44" s="81" t="str">
        <f t="shared" si="11"/>
        <v>OK</v>
      </c>
    </row>
    <row r="45" spans="1:16" x14ac:dyDescent="0.3">
      <c r="A45" s="81" t="s">
        <v>421</v>
      </c>
      <c r="B45" s="81" t="s">
        <v>836</v>
      </c>
      <c r="C45" s="82">
        <v>46262</v>
      </c>
      <c r="D45" s="82">
        <v>47177</v>
      </c>
      <c r="E45" s="82">
        <v>47085</v>
      </c>
      <c r="F45" s="82">
        <v>47177</v>
      </c>
      <c r="G45" s="81">
        <f t="shared" si="2"/>
        <v>92</v>
      </c>
      <c r="H45" s="81">
        <f t="shared" si="3"/>
        <v>0.25555555555555554</v>
      </c>
      <c r="I45" s="91">
        <v>20000000</v>
      </c>
      <c r="J45" s="86">
        <f t="shared" si="9"/>
        <v>4.4999999999999998E-2</v>
      </c>
      <c r="K45" s="86">
        <f>(K43+K44)/2</f>
        <v>4.6520882288006937E-2</v>
      </c>
      <c r="L45" s="92">
        <f t="shared" si="10"/>
        <v>7773.3983609243533</v>
      </c>
      <c r="M45" s="86">
        <f>(M44+M43)/2</f>
        <v>4.3606249999999999E-2</v>
      </c>
      <c r="N45" s="81">
        <f t="shared" si="0"/>
        <v>0.90022568939353631</v>
      </c>
      <c r="O45" s="92">
        <f t="shared" si="1"/>
        <v>6997.8128983937113</v>
      </c>
      <c r="P45" s="81" t="str">
        <f t="shared" si="11"/>
        <v>OK</v>
      </c>
    </row>
    <row r="46" spans="1:16" x14ac:dyDescent="0.3">
      <c r="A46" s="81" t="s">
        <v>421</v>
      </c>
      <c r="B46" s="81" t="s">
        <v>836</v>
      </c>
      <c r="C46" s="82">
        <v>46262</v>
      </c>
      <c r="D46" s="82">
        <v>47266</v>
      </c>
      <c r="E46" s="82">
        <v>47177</v>
      </c>
      <c r="F46" s="82">
        <v>47266</v>
      </c>
      <c r="G46" s="81">
        <f t="shared" si="2"/>
        <v>89</v>
      </c>
      <c r="H46" s="81">
        <f t="shared" si="3"/>
        <v>0.24722222222222223</v>
      </c>
      <c r="I46" s="91">
        <v>20000000</v>
      </c>
      <c r="J46" s="86">
        <f t="shared" si="9"/>
        <v>4.4999999999999998E-2</v>
      </c>
      <c r="K46" s="86">
        <f>'[1]Market Rates'!AH16</f>
        <v>4.7320000598229495E-2</v>
      </c>
      <c r="L46" s="92">
        <f t="shared" si="10"/>
        <v>11471.114069023621</v>
      </c>
      <c r="M46" s="86">
        <f>(M45+M44)/2</f>
        <v>4.3409375E-2</v>
      </c>
      <c r="N46" s="81">
        <f t="shared" si="0"/>
        <v>0.89200979439143269</v>
      </c>
      <c r="O46" s="92">
        <f t="shared" si="1"/>
        <v>10232.34610215043</v>
      </c>
      <c r="P46" s="81" t="str">
        <f t="shared" si="11"/>
        <v>OK</v>
      </c>
    </row>
    <row r="47" spans="1:16" x14ac:dyDescent="0.3">
      <c r="A47" s="81" t="s">
        <v>421</v>
      </c>
      <c r="B47" s="81" t="s">
        <v>836</v>
      </c>
      <c r="C47" s="82">
        <v>46262</v>
      </c>
      <c r="D47" s="82">
        <v>47358</v>
      </c>
      <c r="E47" s="82">
        <v>47266</v>
      </c>
      <c r="F47" s="82">
        <v>47358</v>
      </c>
      <c r="G47" s="81">
        <f t="shared" si="2"/>
        <v>92</v>
      </c>
      <c r="H47" s="81">
        <f t="shared" si="3"/>
        <v>0.25555555555555554</v>
      </c>
      <c r="I47" s="91">
        <v>20000000</v>
      </c>
      <c r="J47" s="86">
        <f t="shared" si="9"/>
        <v>4.4999999999999998E-2</v>
      </c>
      <c r="K47" s="86">
        <f>'[1]Market Rates'!AH16</f>
        <v>4.7320000598229495E-2</v>
      </c>
      <c r="L47" s="92">
        <f t="shared" si="10"/>
        <v>11857.780835395202</v>
      </c>
      <c r="M47" s="86">
        <f>'[1]Market Rates'!AF15</f>
        <v>4.4999999999999998E-2</v>
      </c>
      <c r="N47" s="81">
        <f t="shared" si="0"/>
        <v>0.87950747581354438</v>
      </c>
      <c r="O47" s="92">
        <f t="shared" si="1"/>
        <v>10429.006891288656</v>
      </c>
      <c r="P47" s="81" t="str">
        <f t="shared" si="11"/>
        <v>OK</v>
      </c>
    </row>
    <row r="48" spans="1:16" x14ac:dyDescent="0.3">
      <c r="A48" s="81" t="s">
        <v>433</v>
      </c>
      <c r="B48" s="81" t="s">
        <v>837</v>
      </c>
      <c r="C48" s="82">
        <v>46262</v>
      </c>
      <c r="D48" s="82">
        <v>46446</v>
      </c>
      <c r="E48" s="82">
        <v>46446</v>
      </c>
      <c r="F48" s="82">
        <v>46535</v>
      </c>
      <c r="G48" s="81">
        <f t="shared" si="2"/>
        <v>0</v>
      </c>
      <c r="H48" s="81">
        <f t="shared" si="3"/>
        <v>0</v>
      </c>
      <c r="I48" s="91">
        <v>15000000</v>
      </c>
      <c r="J48" s="86">
        <v>4.1000000000000002E-2</v>
      </c>
      <c r="K48" s="86">
        <f>'[1]Market Rates'!AH13</f>
        <v>4.4115302744089924E-2</v>
      </c>
      <c r="L48" s="92">
        <f>I48*(K48-J48)*H48/(1+K48*H48)</f>
        <v>0</v>
      </c>
      <c r="M48" s="86">
        <f>'[1]Market Rates'!AF12</f>
        <v>4.2200000000000001E-2</v>
      </c>
      <c r="N48" s="81">
        <f t="shared" si="0"/>
        <v>0.978886505723223</v>
      </c>
      <c r="O48" s="92">
        <f t="shared" si="1"/>
        <v>0</v>
      </c>
      <c r="P48" s="81" t="s">
        <v>835</v>
      </c>
    </row>
    <row r="49" spans="1:16" x14ac:dyDescent="0.3">
      <c r="A49" s="19"/>
      <c r="B49" s="19"/>
      <c r="C49" s="93"/>
      <c r="D49" s="93"/>
      <c r="E49" s="93"/>
      <c r="F49" s="93"/>
      <c r="G49" s="19"/>
      <c r="H49" s="19"/>
      <c r="I49" s="94"/>
      <c r="J49" s="87"/>
      <c r="K49" s="87"/>
      <c r="L49" s="95"/>
      <c r="M49" s="87"/>
      <c r="N49" s="19"/>
      <c r="O49" s="95"/>
      <c r="P49" s="19"/>
    </row>
    <row r="50" spans="1:16" x14ac:dyDescent="0.3">
      <c r="C50" s="96"/>
      <c r="D50" s="93"/>
      <c r="E50" s="93"/>
      <c r="F50" s="93"/>
      <c r="G50" s="19"/>
      <c r="H50" s="19"/>
      <c r="I50" s="94"/>
      <c r="J50" s="87"/>
      <c r="K50" s="87"/>
      <c r="L50" s="95"/>
      <c r="M50" s="87"/>
      <c r="N50" s="19"/>
      <c r="O50" s="95"/>
      <c r="P50" s="19"/>
    </row>
    <row r="51" spans="1:16" ht="15.6" x14ac:dyDescent="0.3">
      <c r="A51" s="97" t="s">
        <v>838</v>
      </c>
      <c r="B51" s="20"/>
      <c r="C51" s="98"/>
      <c r="D51" s="93"/>
      <c r="E51" s="93"/>
      <c r="F51" s="93"/>
      <c r="G51" s="19"/>
      <c r="H51" s="19"/>
      <c r="I51" s="94"/>
      <c r="J51" s="87"/>
      <c r="K51" s="87"/>
      <c r="L51" s="95"/>
      <c r="M51" s="87"/>
      <c r="N51" s="19"/>
      <c r="O51" s="95"/>
      <c r="P51" s="19"/>
    </row>
    <row r="52" spans="1:16" x14ac:dyDescent="0.3">
      <c r="A52" s="99" t="s">
        <v>508</v>
      </c>
      <c r="B52" s="99" t="s">
        <v>825</v>
      </c>
      <c r="C52" s="100" t="s">
        <v>741</v>
      </c>
      <c r="D52" s="93"/>
      <c r="E52" s="93"/>
      <c r="F52" s="93"/>
      <c r="G52" s="19"/>
      <c r="H52" s="19"/>
      <c r="I52" s="94"/>
      <c r="J52" s="87"/>
      <c r="K52" s="87"/>
      <c r="L52" s="95"/>
      <c r="M52" s="87"/>
      <c r="N52" s="19"/>
      <c r="O52" s="95"/>
      <c r="P52" s="19"/>
    </row>
    <row r="53" spans="1:16" x14ac:dyDescent="0.3">
      <c r="A53" s="20" t="s">
        <v>381</v>
      </c>
      <c r="B53" s="20" t="s">
        <v>834</v>
      </c>
      <c r="C53" s="98">
        <f>SUMIF($A$13:$A$48,A53,$O$13:$O$48)</f>
        <v>684433.17818177596</v>
      </c>
      <c r="D53" s="93"/>
      <c r="E53" s="93"/>
      <c r="F53" s="93"/>
      <c r="G53" s="19"/>
      <c r="H53" s="19"/>
      <c r="I53" s="94"/>
      <c r="J53" s="87"/>
      <c r="K53" s="87"/>
      <c r="L53" s="95"/>
      <c r="M53" s="87"/>
      <c r="N53" s="19"/>
      <c r="O53" s="95"/>
      <c r="P53" s="19"/>
    </row>
    <row r="54" spans="1:16" x14ac:dyDescent="0.3">
      <c r="A54" s="20" t="s">
        <v>395</v>
      </c>
      <c r="B54" s="20" t="s">
        <v>807</v>
      </c>
      <c r="C54" s="98">
        <f>SUMIF($A$13:$A$48,A54,$O$13:$O$48)</f>
        <v>600731.87737266882</v>
      </c>
      <c r="D54" s="93"/>
      <c r="E54" s="93"/>
      <c r="F54" s="93"/>
      <c r="G54" s="19"/>
      <c r="H54" s="19"/>
      <c r="I54" s="94"/>
      <c r="J54" s="87"/>
      <c r="K54" s="87"/>
      <c r="L54" s="95"/>
      <c r="M54" s="87"/>
      <c r="N54" s="19"/>
      <c r="O54" s="95"/>
      <c r="P54" s="19"/>
    </row>
    <row r="55" spans="1:16" x14ac:dyDescent="0.3">
      <c r="A55" s="20" t="s">
        <v>406</v>
      </c>
      <c r="B55" s="20" t="s">
        <v>839</v>
      </c>
      <c r="C55" s="98">
        <f>SUMIF($A$13:$A$48,A55,$O$13:$O$48)</f>
        <v>0</v>
      </c>
      <c r="D55" s="93"/>
      <c r="E55" s="93"/>
      <c r="F55" s="93"/>
      <c r="G55" s="19"/>
      <c r="H55" s="19"/>
      <c r="I55" s="94"/>
      <c r="J55" s="87"/>
      <c r="K55" s="87"/>
      <c r="L55" s="95"/>
      <c r="M55" s="87"/>
      <c r="N55" s="19"/>
      <c r="O55" s="95"/>
      <c r="P55" s="19"/>
    </row>
    <row r="56" spans="1:16" x14ac:dyDescent="0.3">
      <c r="A56" s="20" t="s">
        <v>421</v>
      </c>
      <c r="B56" s="20" t="s">
        <v>836</v>
      </c>
      <c r="C56" s="98">
        <f>SUMIF($A$13:$A$48,A56,$O$13:$O$48)</f>
        <v>49268.975085303558</v>
      </c>
      <c r="D56" s="93"/>
      <c r="E56" s="93"/>
      <c r="F56" s="93"/>
      <c r="G56" s="19"/>
      <c r="H56" s="19"/>
      <c r="I56" s="94"/>
      <c r="J56" s="87"/>
      <c r="K56" s="87"/>
      <c r="L56" s="95"/>
      <c r="M56" s="87"/>
      <c r="N56" s="19"/>
      <c r="O56" s="95"/>
      <c r="P56" s="19"/>
    </row>
    <row r="57" spans="1:16" x14ac:dyDescent="0.3">
      <c r="A57" s="20" t="s">
        <v>433</v>
      </c>
      <c r="B57" s="20" t="s">
        <v>837</v>
      </c>
      <c r="C57" s="98">
        <f>SUMIF($A$13:$A$48,A57,$O$13:$O$48)</f>
        <v>0</v>
      </c>
      <c r="D57" s="93"/>
      <c r="E57" s="93"/>
      <c r="F57" s="93"/>
      <c r="G57" s="19"/>
      <c r="H57" s="19"/>
      <c r="I57" s="94"/>
      <c r="J57" s="87"/>
      <c r="K57" s="87"/>
      <c r="L57" s="95"/>
      <c r="M57" s="87"/>
      <c r="N57" s="19"/>
      <c r="O57" s="95"/>
      <c r="P57" s="19"/>
    </row>
    <row r="58" spans="1:16" x14ac:dyDescent="0.3">
      <c r="A58" s="101" t="s">
        <v>840</v>
      </c>
      <c r="B58" s="20"/>
      <c r="C58" s="102">
        <f>SUM(C53:C57)</f>
        <v>1334434.0306397486</v>
      </c>
      <c r="D58" s="93"/>
      <c r="E58" s="93"/>
      <c r="F58" s="93"/>
      <c r="G58" s="19"/>
      <c r="H58" s="19"/>
      <c r="I58" s="94"/>
      <c r="J58" s="87"/>
      <c r="K58" s="87"/>
      <c r="L58" s="95"/>
      <c r="M58" s="87"/>
      <c r="N58" s="19"/>
      <c r="O58" s="95"/>
      <c r="P58" s="19"/>
    </row>
    <row r="61" spans="1:16" x14ac:dyDescent="0.3">
      <c r="A61" s="54" t="s">
        <v>841</v>
      </c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</row>
    <row r="62" spans="1:16" x14ac:dyDescent="0.3">
      <c r="A62" s="57" t="s">
        <v>842</v>
      </c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</row>
    <row r="63" spans="1:16" x14ac:dyDescent="0.3">
      <c r="A63" s="57" t="s">
        <v>843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</row>
    <row r="64" spans="1:16" x14ac:dyDescent="0.3">
      <c r="A64" s="57" t="s">
        <v>844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</row>
    <row r="65" spans="1:16" x14ac:dyDescent="0.3">
      <c r="A65" s="57" t="s">
        <v>845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</row>
    <row r="66" spans="1:16" x14ac:dyDescent="0.3">
      <c r="A66" s="57" t="s">
        <v>846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</row>
    <row r="67" spans="1:16" x14ac:dyDescent="0.3">
      <c r="A67" s="57" t="s">
        <v>847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429C-980B-4EA8-99D1-F0516DD4172B}">
  <sheetPr>
    <tabColor rgb="FF00B050"/>
  </sheetPr>
  <dimension ref="A3:AO76"/>
  <sheetViews>
    <sheetView showGridLines="0" topLeftCell="A46" zoomScale="82" zoomScaleNormal="82" workbookViewId="0">
      <selection activeCell="B74" sqref="B74"/>
    </sheetView>
  </sheetViews>
  <sheetFormatPr defaultRowHeight="14.4" x14ac:dyDescent="0.3"/>
  <cols>
    <col min="1" max="1" width="3" bestFit="1" customWidth="1"/>
    <col min="2" max="2" width="55.44140625" customWidth="1"/>
    <col min="3" max="3" width="34.88671875" bestFit="1" customWidth="1"/>
    <col min="4" max="4" width="39.33203125" customWidth="1"/>
    <col min="5" max="5" width="22.109375" bestFit="1" customWidth="1"/>
    <col min="6" max="6" width="43" bestFit="1" customWidth="1"/>
    <col min="7" max="7" width="21.109375" bestFit="1" customWidth="1"/>
    <col min="8" max="8" width="29.5546875" bestFit="1" customWidth="1"/>
    <col min="9" max="9" width="19.33203125" bestFit="1" customWidth="1"/>
    <col min="10" max="10" width="23.44140625" bestFit="1" customWidth="1"/>
    <col min="11" max="11" width="21" bestFit="1" customWidth="1"/>
    <col min="12" max="12" width="23.44140625" bestFit="1" customWidth="1"/>
    <col min="13" max="13" width="33.88671875" bestFit="1" customWidth="1"/>
    <col min="14" max="14" width="21" bestFit="1" customWidth="1"/>
    <col min="15" max="15" width="24.88671875" bestFit="1" customWidth="1"/>
    <col min="16" max="18" width="25.109375" customWidth="1"/>
    <col min="19" max="19" width="25.44140625" bestFit="1" customWidth="1"/>
    <col min="20" max="20" width="17.88671875" customWidth="1"/>
    <col min="21" max="21" width="34.5546875" bestFit="1" customWidth="1"/>
    <col min="22" max="22" width="41.21875" bestFit="1" customWidth="1"/>
    <col min="23" max="23" width="24.6640625" bestFit="1" customWidth="1"/>
    <col min="24" max="24" width="18.5546875" bestFit="1" customWidth="1"/>
    <col min="25" max="25" width="17.21875" bestFit="1" customWidth="1"/>
    <col min="26" max="26" width="33.44140625" bestFit="1" customWidth="1"/>
    <col min="27" max="27" width="43" bestFit="1" customWidth="1"/>
    <col min="28" max="29" width="15.77734375" customWidth="1"/>
    <col min="30" max="30" width="21.88671875" customWidth="1"/>
    <col min="31" max="31" width="15.77734375" customWidth="1"/>
    <col min="32" max="32" width="17.33203125" bestFit="1" customWidth="1"/>
    <col min="33" max="33" width="17.33203125" customWidth="1"/>
    <col min="34" max="34" width="19.77734375" bestFit="1" customWidth="1"/>
    <col min="35" max="37" width="19.77734375" customWidth="1"/>
    <col min="38" max="38" width="23.6640625" bestFit="1" customWidth="1"/>
    <col min="39" max="39" width="23.6640625" customWidth="1"/>
    <col min="40" max="40" width="21" bestFit="1" customWidth="1"/>
    <col min="41" max="41" width="39.21875" bestFit="1" customWidth="1"/>
  </cols>
  <sheetData>
    <row r="3" spans="1:41" x14ac:dyDescent="0.3">
      <c r="B3" s="103" t="s">
        <v>100</v>
      </c>
      <c r="C3" s="103" t="s">
        <v>101</v>
      </c>
      <c r="D3" s="103" t="s">
        <v>102</v>
      </c>
      <c r="E3" s="103" t="s">
        <v>103</v>
      </c>
      <c r="F3" s="103" t="s">
        <v>509</v>
      </c>
      <c r="G3" s="103" t="s">
        <v>104</v>
      </c>
      <c r="H3" s="103" t="s">
        <v>2</v>
      </c>
      <c r="I3" s="103" t="s">
        <v>110</v>
      </c>
      <c r="J3" s="103" t="s">
        <v>510</v>
      </c>
      <c r="K3" s="103" t="s">
        <v>148</v>
      </c>
      <c r="L3" s="103" t="s">
        <v>113</v>
      </c>
      <c r="M3" s="103" t="s">
        <v>135</v>
      </c>
      <c r="N3" s="103" t="s">
        <v>136</v>
      </c>
      <c r="O3" s="103" t="s">
        <v>115</v>
      </c>
      <c r="P3" s="103" t="s">
        <v>118</v>
      </c>
      <c r="Q3" s="103" t="s">
        <v>119</v>
      </c>
      <c r="R3" s="103" t="s">
        <v>120</v>
      </c>
      <c r="S3" s="103" t="s">
        <v>121</v>
      </c>
      <c r="T3" s="103" t="s">
        <v>122</v>
      </c>
      <c r="U3" s="103" t="s">
        <v>138</v>
      </c>
      <c r="V3" s="103" t="s">
        <v>127</v>
      </c>
      <c r="W3" s="103" t="s">
        <v>151</v>
      </c>
      <c r="X3" s="103" t="s">
        <v>152</v>
      </c>
      <c r="Y3" s="103" t="s">
        <v>515</v>
      </c>
      <c r="Z3" s="103" t="s">
        <v>141</v>
      </c>
      <c r="AA3" s="103" t="s">
        <v>140</v>
      </c>
      <c r="AB3" s="103" t="s">
        <v>511</v>
      </c>
      <c r="AC3" s="103" t="s">
        <v>512</v>
      </c>
      <c r="AD3" s="103" t="s">
        <v>518</v>
      </c>
      <c r="AE3" s="103" t="s">
        <v>513</v>
      </c>
      <c r="AF3" s="103" t="s">
        <v>573</v>
      </c>
      <c r="AG3" s="103" t="s">
        <v>587</v>
      </c>
      <c r="AH3" s="103" t="s">
        <v>514</v>
      </c>
      <c r="AI3" s="103" t="s">
        <v>694</v>
      </c>
      <c r="AJ3" s="103" t="s">
        <v>688</v>
      </c>
      <c r="AK3" s="103" t="s">
        <v>720</v>
      </c>
      <c r="AL3" s="103" t="s">
        <v>689</v>
      </c>
      <c r="AM3" s="104" t="s">
        <v>721</v>
      </c>
      <c r="AN3" s="104" t="s">
        <v>722</v>
      </c>
      <c r="AO3" s="103" t="s">
        <v>516</v>
      </c>
    </row>
    <row r="4" spans="1:41" x14ac:dyDescent="0.3">
      <c r="B4" s="105" t="str" cm="1">
        <f t="array" ref="B4:B8">_xlfn._xlws.FILTER(_xlfn.XLOOKUP(B$3,'Trades Inputs'!$C$1:$BN$1,'Trades Inputs'!$C2:$BN25),ISNUMBER(SEARCH("Equity",'Trades Inputs'!$BB2:$BB25)))</f>
        <v>TRD-2026-001</v>
      </c>
      <c r="C4" s="105" t="str" cm="1">
        <f t="array" ref="C4:C8">_xlfn._xlws.FILTER(_xlfn.XLOOKUP(C$3,'Trades Inputs'!$C$1:$BN$1,'Trades Inputs'!$C2:$BN25),ISNUMBER(SEARCH("Equity",'Trades Inputs'!$BB2:$BB25)))</f>
        <v>Equity Index Forward</v>
      </c>
      <c r="D4" s="105" t="str" cm="1">
        <f t="array" ref="D4:D8">_xlfn._xlws.FILTER(_xlfn.XLOOKUP(D$3,'Trades Inputs'!$C$1:$BN$1,'Trades Inputs'!$C2:$BN25),ISNUMBER(SEARCH("Equity",'Trades Inputs'!$BB2:$BB25)))</f>
        <v>Long (Buyer)</v>
      </c>
      <c r="E4" s="105" t="str" cm="1">
        <f t="array" ref="E4:E8">_xlfn._xlws.FILTER(_xlfn.XLOOKUP(E$3,'Trades Inputs'!$C$1:$BN$1,'Trades Inputs'!$C2:$BN25),ISNUMBER(SEARCH("Equity",'Trades Inputs'!$BB2:$BB25)))</f>
        <v>S&amp;P 500 Index</v>
      </c>
      <c r="F4" s="105" t="str" cm="1">
        <f t="array" ref="F4:F8">_xlfn._xlws.FILTER(_xlfn.XLOOKUP(F$3,'Trades Inputs'!$C$1:$BN$1,'Trades Inputs'!$C2:$BN25),ISNUMBER(SEARCH("Equity",'Trades Inputs'!$BB2:$BB25)))</f>
        <v>28-Aug-2026</v>
      </c>
      <c r="G4" s="105" t="str" cm="1">
        <f t="array" ref="G4:G8">_xlfn._xlws.FILTER(_xlfn.XLOOKUP(G$3,'Trades Inputs'!$C$1:$BN$1,'Trades Inputs'!$C2:$BN25),ISNUMBER(SEARCH("Equity",'Trades Inputs'!$BB2:$BB25)))</f>
        <v>28-Aug-2027</v>
      </c>
      <c r="H4" s="105" t="str" cm="1">
        <f t="array" ref="H4:H8">_xlfn._xlws.FILTER(_xlfn.XLOOKUP(H$3,'Trades Inputs'!$C$1:$BN$1,'Trades Inputs'!$C2:$BN25),ISNUMBER(SEARCH("Equity",'Trades Inputs'!$BB2:$BB25)))</f>
        <v>USD</v>
      </c>
      <c r="I4" s="105" cm="1">
        <f t="array" ref="I4:I8">_xlfn._xlws.FILTER(_xlfn.XLOOKUP(I$3,'Trades Inputs'!$C$1:$BN$1,'Trades Inputs'!$C2:$BN25),ISNUMBER(SEARCH("Equity",'Trades Inputs'!$BB2:$BB25)))</f>
        <v>25000000</v>
      </c>
      <c r="J4" s="105" cm="1">
        <f t="array" ref="J4:J8">_xlfn._xlws.FILTER(_xlfn.XLOOKUP(J$3,'Trades Inputs'!$C$1:$BN$1,'Trades Inputs'!$C2:$BN25),ISNUMBER(SEARCH("Equity",'Trades Inputs'!$BB2:$BB25)))</f>
        <v>5100</v>
      </c>
      <c r="K4" s="105" cm="1">
        <f t="array" ref="K4:K8">_xlfn._xlws.FILTER(_xlfn.XLOOKUP(K$3,'Trades Inputs'!$C$1:$BN$1,'Trades Inputs'!$C2:$BN25),ISNUMBER(SEARCH("Equity",'Trades Inputs'!$BB2:$BB25)))</f>
        <v>5250</v>
      </c>
      <c r="L4" s="105" t="str" cm="1">
        <f t="array" ref="L4:L8">_xlfn._xlws.FILTER(_xlfn.XLOOKUP(L$3,'Trades Inputs'!$C$1:$BN$1,'Trades Inputs'!$C2:$BN25),ISNUMBER(SEARCH("Equity",'Trades Inputs'!$BB2:$BB25)))</f>
        <v xml:space="preserve">    - </v>
      </c>
      <c r="M4" s="105" t="str" cm="1">
        <f t="array" ref="M4:M8">_xlfn._xlws.FILTER(_xlfn.XLOOKUP(M$3,'Trades Inputs'!$C$1:$BN$1,'Trades Inputs'!$C2:$BN25),ISNUMBER(SEARCH("Equity",'Trades Inputs'!$BB2:$BB25)))</f>
        <v xml:space="preserve">    - </v>
      </c>
      <c r="N4" s="105" t="str" cm="1">
        <f t="array" ref="N4:N8">_xlfn._xlws.FILTER(_xlfn.XLOOKUP(N$3,'Trades Inputs'!$C$1:$BN$1,'Trades Inputs'!$C2:$BN25),ISNUMBER(SEARCH("Equity",'Trades Inputs'!$BB2:$BB25)))</f>
        <v xml:space="preserve">    - </v>
      </c>
      <c r="O4" s="105" t="str" cm="1">
        <f t="array" ref="O4:O8">_xlfn._xlws.FILTER(_xlfn.XLOOKUP(O$3,'Trades Inputs'!$C$1:$BN$1,'Trades Inputs'!$C2:$BN25),ISNUMBER(SEARCH("Equity",'Trades Inputs'!$BB2:$BB25)))</f>
        <v xml:space="preserve">    - </v>
      </c>
      <c r="P4" s="105" t="str" cm="1">
        <f t="array" ref="P4:P8">_xlfn._xlws.FILTER(_xlfn.XLOOKUP(P$3,'Trades Inputs'!$C$1:$BN$1,'Trades Inputs'!$C2:$BN25),ISNUMBER(SEARCH("Equity",'Trades Inputs'!$BB2:$BB25)))</f>
        <v xml:space="preserve">    - </v>
      </c>
      <c r="Q4" s="105" t="str" cm="1">
        <f t="array" ref="Q4:Q8">_xlfn._xlws.FILTER(_xlfn.XLOOKUP(Q$3,'Trades Inputs'!$C$1:$BN$1,'Trades Inputs'!$C2:$BN25),ISNUMBER(SEARCH("Equity",'Trades Inputs'!$BB2:$BB25)))</f>
        <v xml:space="preserve">    - </v>
      </c>
      <c r="R4" s="105" t="str" cm="1">
        <f t="array" ref="R4:R8">_xlfn._xlws.FILTER(_xlfn.XLOOKUP(R$3,'Trades Inputs'!$C$1:$BN$1,'Trades Inputs'!$C2:$BN25),ISNUMBER(SEARCH("Equity",'Trades Inputs'!$BB2:$BB25)))</f>
        <v xml:space="preserve">    - </v>
      </c>
      <c r="S4" s="105" t="str" cm="1">
        <f t="array" ref="S4:S8">_xlfn._xlws.FILTER(_xlfn.XLOOKUP(S$3,'Trades Inputs'!$C$1:$BN$1,'Trades Inputs'!$C2:$BN25),ISNUMBER(SEARCH("Equity",'Trades Inputs'!$BB2:$BB25)))</f>
        <v xml:space="preserve">    - </v>
      </c>
      <c r="T4" s="105" t="str" cm="1">
        <f t="array" ref="T4:T8">_xlfn._xlws.FILTER(_xlfn.XLOOKUP(T$3,'Trades Inputs'!$C$1:$BN$1,'Trades Inputs'!$C2:$BN25),ISNUMBER(SEARCH("Equity",'Trades Inputs'!$BB2:$BB25)))</f>
        <v xml:space="preserve">    - </v>
      </c>
      <c r="U4" s="105" t="str" cm="1">
        <f t="array" ref="U4:U8">_xlfn._xlws.FILTER(_xlfn.XLOOKUP(U$3,'Trades Inputs'!$C$1:$BN$1,'Trades Inputs'!$C2:$BN25),ISNUMBER(SEARCH("Equity",'Trades Inputs'!$BB2:$BB25)))</f>
        <v xml:space="preserve">    - </v>
      </c>
      <c r="V4" s="105" t="str" cm="1">
        <f t="array" ref="V4:V8">_xlfn._xlws.FILTER(_xlfn.XLOOKUP(V$3,'Trades Inputs'!$C$1:$BN$1,'Trades Inputs'!$C2:$BN25),ISNUMBER(SEARCH("Equity",'Trades Inputs'!$BB2:$BB25)))</f>
        <v>Large-Cap Developed Market Index</v>
      </c>
      <c r="W4" s="105" t="str" cm="1">
        <f t="array" ref="W4:W8">_xlfn._xlws.FILTER(_xlfn.XLOOKUP(W$3,'Trades Inputs'!$C$1:$BN$1,'Trades Inputs'!$C2:$BN25),ISNUMBER(SEARCH("Equity",'Trades Inputs'!$BB2:$BB25)))</f>
        <v>Broad Market / Diversified</v>
      </c>
      <c r="X4" s="105" t="str" cm="1">
        <f t="array" ref="X4:X8">_xlfn._xlws.FILTER(_xlfn.XLOOKUP(X$3,'Trades Inputs'!$C$1:$BN$1,'Trades Inputs'!$C2:$BN25),ISNUMBER(SEARCH("Equity",'Trades Inputs'!$BB2:$BB25)))</f>
        <v>Large Cap</v>
      </c>
      <c r="Y4" s="105" t="str" cm="1">
        <f t="array" ref="Y4:Y8">_xlfn._xlws.FILTER(_xlfn.XLOOKUP(Y$3,'Trades Inputs'!$C$1:$BN$1,'Trades Inputs'!$C2:$BN25),ISNUMBER(SEARCH("Equity",'Trades Inputs'!$BB2:$BB25)))</f>
        <v>USD</v>
      </c>
      <c r="Z4" s="105" t="str" cm="1">
        <f t="array" ref="Z4:Z8">_xlfn._xlws.FILTER(_xlfn.XLOOKUP(Z$3,'Trades Inputs'!$C$1:$BN$1,'Trades Inputs'!$C2:$BN25),ISNUMBER(SEARCH("Equity",'Trades Inputs'!$BB2:$BB25)))</f>
        <v>Equity Delta - S&amp;P 500</v>
      </c>
      <c r="AA4" s="105" t="str" cm="1">
        <f t="array" ref="AA4:AA8">_xlfn._xlws.FILTER(_xlfn.XLOOKUP(AA$3,'Trades Inputs'!$C$1:$BN$1,'Trades Inputs'!$C2:$BN25),ISNUMBER(SEARCH("Equity",'Trades Inputs'!$BB2:$BB25)))</f>
        <v>Bucket 11 (Large-Cap, Developed - Indices/Funds)</v>
      </c>
      <c r="AB4" s="106" t="str" cm="1">
        <f t="array" ref="AB4">IF(OR(ISNUMBER(SEARCH("Option",$C4)),ISNUMBER(SEARCH("Swap",$C4))),IFERROR(_xlfn.XLOOKUP($AD4,'Market Rates'!$E$3:$S$3,_xlfn.XLOOKUP($H4,'Market Rates'!$B:$B,'Market Rates'!$E:$S)," - ",-1),"N/A"),"-")</f>
        <v>-</v>
      </c>
      <c r="AC4" s="107" t="str">
        <f>IF(OR(ISNUMBER(SEARCH("Option",$C4)),ISNUMBER(SEARCH("Swap",$C4))),2%,"-")</f>
        <v>-</v>
      </c>
      <c r="AD4" s="108">
        <f ca="1">G4-TODAY()</f>
        <v>347</v>
      </c>
      <c r="AE4" s="107" t="str">
        <f>IF(ISNUMBER(SEARCH("Option",$C4))," Black-Scholes", "Linear")</f>
        <v>Linear</v>
      </c>
      <c r="AF4" s="109">
        <f>IF(OR(ISNUMBER(SEARCH("Long",$D4)),ISNUMBER(SEARCH("Receiver",$D4))),1,-1)</f>
        <v>1</v>
      </c>
      <c r="AG4" s="109">
        <f>AF4</f>
        <v>1</v>
      </c>
      <c r="AH4" s="107">
        <f>I4*AG4*AF4</f>
        <v>25000000</v>
      </c>
      <c r="AI4" s="107" t="s">
        <v>695</v>
      </c>
      <c r="AJ4" s="107">
        <f>IF(ISNUMBER(SEARCH("Option",C4)),I4*AI4,0)</f>
        <v>0</v>
      </c>
      <c r="AK4" s="109" t="s">
        <v>695</v>
      </c>
      <c r="AL4" s="107">
        <f>IF(ISNUMBER(SEARCH("Option",C4)),I4*AK4,0)</f>
        <v>0</v>
      </c>
      <c r="AM4" s="109">
        <v>0</v>
      </c>
      <c r="AN4" s="109">
        <f>AM4*100</f>
        <v>0</v>
      </c>
      <c r="AO4" s="81"/>
    </row>
    <row r="5" spans="1:41" x14ac:dyDescent="0.3">
      <c r="B5" s="81" t="str">
        <v>TRD-2026-002</v>
      </c>
      <c r="C5" s="81" t="str">
        <v>Equity Index Option (Vanilla Call)</v>
      </c>
      <c r="D5" s="81" t="str">
        <v>Long (Buyer)</v>
      </c>
      <c r="E5" s="81" t="str">
        <v>S&amp;P 500 Index</v>
      </c>
      <c r="F5" s="81" t="str">
        <v>28-Aug-2026</v>
      </c>
      <c r="G5" s="81" t="str">
        <v>28-Aug-2027</v>
      </c>
      <c r="H5" s="81" t="str">
        <v>USD</v>
      </c>
      <c r="I5" s="81">
        <v>10000000</v>
      </c>
      <c r="J5" s="81">
        <v>5000</v>
      </c>
      <c r="K5" s="81" t="str">
        <v xml:space="preserve">    - </v>
      </c>
      <c r="L5" s="81">
        <v>5200</v>
      </c>
      <c r="M5" s="81" t="str">
        <v>Vanilla Index Option</v>
      </c>
      <c r="N5" s="81" t="str">
        <v>European [assumed]</v>
      </c>
      <c r="O5" s="81" t="str">
        <v xml:space="preserve">    - </v>
      </c>
      <c r="P5" s="81" t="str">
        <v xml:space="preserve">    - </v>
      </c>
      <c r="Q5" s="81" t="str">
        <v xml:space="preserve">    - </v>
      </c>
      <c r="R5" s="81" t="str">
        <v xml:space="preserve">    - </v>
      </c>
      <c r="S5" s="81" t="str">
        <v xml:space="preserve">    - </v>
      </c>
      <c r="T5" s="81" t="str">
        <v xml:space="preserve">    - </v>
      </c>
      <c r="U5" s="81">
        <v>0.18</v>
      </c>
      <c r="V5" s="81" t="str">
        <v>Large-Cap Developed Market Index</v>
      </c>
      <c r="W5" s="81" t="str">
        <v>Broad Market / Diversified</v>
      </c>
      <c r="X5" s="81" t="str">
        <v>Large Cap</v>
      </c>
      <c r="Y5" s="81" t="str">
        <v>USD</v>
      </c>
      <c r="Z5" s="81" t="str">
        <v>Equity Delta &amp; Vega &amp; Curvature - S&amp;P 500</v>
      </c>
      <c r="AA5" s="81" t="str">
        <v>Bucket 11 (Large-Cap, Developed - Indices/Funds)</v>
      </c>
      <c r="AB5" s="110" cm="1">
        <f t="array" aca="1" ref="AB5" ca="1">IF(OR(ISNUMBER(SEARCH("Option",$C5)),ISNUMBER(SEARCH("Swap",$C5))),IFERROR(_xlfn.XLOOKUP($AD5,'Market Rates'!$E$3:$S$3,_xlfn.XLOOKUP($H5,'Market Rates'!$B:$B,'Market Rates'!$E:$S)," - ",-1),"N/A"),"-")</f>
        <v>4.1500000000000002E-2</v>
      </c>
      <c r="AC5" s="111">
        <f t="shared" ref="AC5:AC8" si="0">IF(OR(ISNUMBER(SEARCH("Option",$C5)),ISNUMBER(SEARCH("Swap",$C5))),2%,"-")</f>
        <v>0.02</v>
      </c>
      <c r="AD5" s="112">
        <f ca="1">G5-TODAY()</f>
        <v>347</v>
      </c>
      <c r="AE5" s="111" t="str">
        <f t="shared" ref="AE5:AE8" si="1">IF(ISNUMBER(SEARCH("Option",$C5))," Black-Scholes", "Linear")</f>
        <v xml:space="preserve"> Black-Scholes</v>
      </c>
      <c r="AF5" s="111">
        <f t="shared" ref="AF5:AF8" si="2">IF(OR(ISNUMBER(SEARCH("Long",$D5)),ISNUMBER(SEARCH("Receiver",$D5))),1,-1)</f>
        <v>1</v>
      </c>
      <c r="AG5" s="113">
        <f ca="1">'BS Delta'!C25</f>
        <v>0.48304528256693086</v>
      </c>
      <c r="AH5" s="111">
        <f ca="1">I5*AG5*AF5</f>
        <v>4830452.8256693082</v>
      </c>
      <c r="AI5" s="111">
        <f ca="1">'BS Delta'!I24</f>
        <v>19.079205999421397</v>
      </c>
      <c r="AJ5" s="107">
        <f ca="1">IF(ISNUMBER(SEARCH("Option",C5)),I5*AI5,0)</f>
        <v>190792059.99421397</v>
      </c>
      <c r="AK5" s="107">
        <f ca="1">'BS Delta'!N42</f>
        <v>6.9278961265910546</v>
      </c>
      <c r="AL5" s="107">
        <f ca="1">IF(ISNUMBER(SEARCH("Option",C5)),I5*AK5,0)</f>
        <v>69278961.265910551</v>
      </c>
      <c r="AM5" s="109">
        <v>0</v>
      </c>
      <c r="AN5" s="109">
        <f t="shared" ref="AN5:AN6" si="3">AM5*100</f>
        <v>0</v>
      </c>
      <c r="AO5" s="114" t="s">
        <v>521</v>
      </c>
    </row>
    <row r="6" spans="1:41" x14ac:dyDescent="0.3">
      <c r="B6" s="81" t="str">
        <v>TRD-2026-003</v>
      </c>
      <c r="C6" s="81" t="str">
        <v>Equity Index Option (Vanilla Put) - Hedge</v>
      </c>
      <c r="D6" s="81" t="str">
        <v>Long (Buyer)</v>
      </c>
      <c r="E6" s="81" t="str">
        <v>Euro Stoxx 50 Index</v>
      </c>
      <c r="F6" s="81" t="str">
        <v>28-Aug-2026</v>
      </c>
      <c r="G6" s="81" t="str">
        <v>28-Feb-2027</v>
      </c>
      <c r="H6" s="81" t="str">
        <v>EUR</v>
      </c>
      <c r="I6" s="81">
        <v>12000000</v>
      </c>
      <c r="J6" s="81">
        <v>5250</v>
      </c>
      <c r="K6" s="81" t="str">
        <v xml:space="preserve">    - </v>
      </c>
      <c r="L6" s="81">
        <v>5000</v>
      </c>
      <c r="M6" s="81" t="str">
        <v>Vanilla Index Option (Protective/Hedge)</v>
      </c>
      <c r="N6" s="81" t="str">
        <v>European [assumed]</v>
      </c>
      <c r="O6" s="81" t="str">
        <v xml:space="preserve">    - </v>
      </c>
      <c r="P6" s="81" t="str">
        <v xml:space="preserve">    - </v>
      </c>
      <c r="Q6" s="81" t="str">
        <v xml:space="preserve">    - </v>
      </c>
      <c r="R6" s="81" t="str">
        <v xml:space="preserve">    - </v>
      </c>
      <c r="S6" s="81" t="str">
        <v xml:space="preserve">    - </v>
      </c>
      <c r="T6" s="81" t="str">
        <v xml:space="preserve">    - </v>
      </c>
      <c r="U6" s="81">
        <v>0.2</v>
      </c>
      <c r="V6" s="81" t="str">
        <v>Large-Cap Developed Market Index (Europe)</v>
      </c>
      <c r="W6" s="81" t="str">
        <v>Broad Market / Diversified</v>
      </c>
      <c r="X6" s="81" t="str">
        <v>Large Cap</v>
      </c>
      <c r="Y6" s="81" t="str">
        <v>EUR</v>
      </c>
      <c r="Z6" s="81" t="str">
        <v>Equity Delta &amp; Vega &amp; Curvature - Euro Stoxx 50</v>
      </c>
      <c r="AA6" s="81" t="str">
        <v>Bucket 11 (Large-Cap, Developed - Indices/Funds)</v>
      </c>
      <c r="AB6" s="115" cm="1">
        <f t="array" aca="1" ref="AB6" ca="1">IF(OR(ISNUMBER(SEARCH("Option",$C6)),ISNUMBER(SEARCH("Swap",$C6))),IFERROR(_xlfn.XLOOKUP($AD6,'Market Rates'!$E$3:$S$3,_xlfn.XLOOKUP($H6,'Market Rates'!$B:$B,'Market Rates'!$E:$S)," - ",-1),"N/A"),"-")</f>
        <v>2.1000000000000001E-2</v>
      </c>
      <c r="AC6" s="111">
        <f t="shared" si="0"/>
        <v>0.02</v>
      </c>
      <c r="AD6" s="112">
        <f ca="1">G6-TODAY()</f>
        <v>166</v>
      </c>
      <c r="AE6" s="111" t="str">
        <f t="shared" si="1"/>
        <v xml:space="preserve"> Black-Scholes</v>
      </c>
      <c r="AF6" s="111">
        <f t="shared" si="2"/>
        <v>1</v>
      </c>
      <c r="AG6" s="116">
        <f ca="1">'BS Delta'!D25</f>
        <v>-0.32965906517317362</v>
      </c>
      <c r="AH6" s="111">
        <f ca="1">I6*AG6*AF6</f>
        <v>-3955908.7820780836</v>
      </c>
      <c r="AI6" s="111">
        <f ca="1">'BS Delta'!J24</f>
        <v>12.746729382758918</v>
      </c>
      <c r="AJ6" s="107">
        <f ca="1">IF(ISNUMBER(SEARCH("Option",C6)),I6*AI6,0)</f>
        <v>152960752.59310701</v>
      </c>
      <c r="AK6" s="107">
        <f ca="1">'BS Delta'!O42</f>
        <v>10.7502536963027</v>
      </c>
      <c r="AL6" s="107">
        <f ca="1">IF(ISNUMBER(SEARCH("Option",C6)),I6*AK6,0)</f>
        <v>129003044.35563239</v>
      </c>
      <c r="AM6" s="109">
        <v>0</v>
      </c>
      <c r="AN6" s="109">
        <f t="shared" si="3"/>
        <v>0</v>
      </c>
      <c r="AO6" s="114" t="s">
        <v>521</v>
      </c>
    </row>
    <row r="7" spans="1:41" x14ac:dyDescent="0.3">
      <c r="B7" s="81" t="str">
        <v>TRD-2026-004</v>
      </c>
      <c r="C7" s="81" t="str">
        <v>Total Return Swap (Equity)</v>
      </c>
      <c r="D7" s="81" t="str">
        <v>Receiver of Total Return / Payer of Financing</v>
      </c>
      <c r="E7" s="81" t="str">
        <v>S&amp;P 500 Index</v>
      </c>
      <c r="F7" s="81" t="str">
        <v>28-Aug-2026</v>
      </c>
      <c r="G7" s="81" t="str">
        <v>28-Aug-2029</v>
      </c>
      <c r="H7" s="81" t="str">
        <v>USD</v>
      </c>
      <c r="I7" s="81">
        <v>30000000</v>
      </c>
      <c r="J7" s="81" t="str">
        <v xml:space="preserve">    - </v>
      </c>
      <c r="K7" s="81" t="str">
        <v xml:space="preserve">    - </v>
      </c>
      <c r="L7" s="81" t="str">
        <v xml:space="preserve">    - </v>
      </c>
      <c r="M7" s="81" t="str">
        <v xml:space="preserve">    - </v>
      </c>
      <c r="N7" s="81" t="str">
        <v xml:space="preserve">    - </v>
      </c>
      <c r="O7" s="81" t="str">
        <v>SOFR + 1.20% (financing leg)</v>
      </c>
      <c r="P7" s="81" t="str">
        <v>SOFR</v>
      </c>
      <c r="Q7" s="81" t="str">
        <v>SOFR OIS</v>
      </c>
      <c r="R7" s="81" t="str">
        <v>3Y</v>
      </c>
      <c r="S7" s="81" t="str">
        <v>Quarterly</v>
      </c>
      <c r="T7" s="81" t="str">
        <v>Quarterly</v>
      </c>
      <c r="U7" s="81" t="str">
        <v xml:space="preserve">    - </v>
      </c>
      <c r="V7" s="81" t="str">
        <v>Large-Cap Developed Market Index</v>
      </c>
      <c r="W7" s="81" t="str">
        <v>Broad Market / Diversified</v>
      </c>
      <c r="X7" s="81" t="str">
        <v>Large Cap</v>
      </c>
      <c r="Y7" s="81" t="str">
        <v>USD</v>
      </c>
      <c r="Z7" s="81" t="str">
        <v>Equity Delta - S&amp;P 500; IR Delta - SOFR</v>
      </c>
      <c r="AA7" s="81" t="str">
        <v>Equity: Bucket 11 (Index); IR: USD</v>
      </c>
      <c r="AB7" s="115" cm="1">
        <f t="array" aca="1" ref="AB7" ca="1">IF(OR(ISNUMBER(SEARCH("Option",$C7)),ISNUMBER(SEARCH("Swap",$C7))),IFERROR(_xlfn.XLOOKUP($AD7,'Market Rates'!$E$3:$S$3,_xlfn.XLOOKUP($H7,'Market Rates'!$B:$B,'Market Rates'!$E:$S)," - ",-1),"N/A"),"-")</f>
        <v>4.3999999999999997E-2</v>
      </c>
      <c r="AC7" s="111">
        <f t="shared" si="0"/>
        <v>0.02</v>
      </c>
      <c r="AD7" s="112">
        <f ca="1">G7-TODAY()</f>
        <v>1078</v>
      </c>
      <c r="AE7" s="111" t="str">
        <f t="shared" si="1"/>
        <v>Linear</v>
      </c>
      <c r="AF7" s="111">
        <f t="shared" si="2"/>
        <v>1</v>
      </c>
      <c r="AG7" s="116">
        <f>AF7</f>
        <v>1</v>
      </c>
      <c r="AH7" s="111">
        <f>I7*AG7*AF7</f>
        <v>30000000</v>
      </c>
      <c r="AI7" s="111" t="s">
        <v>695</v>
      </c>
      <c r="AJ7" s="107">
        <f>IF(ISNUMBER(SEARCH("Option",C7)),I7*AI7,0)</f>
        <v>0</v>
      </c>
      <c r="AK7" s="107" t="s">
        <v>695</v>
      </c>
      <c r="AL7" s="107">
        <f>IF(ISNUMBER(SEARCH("Option",C7)),I7*AK7,0)</f>
        <v>0</v>
      </c>
      <c r="AM7" s="107">
        <f>'BS Delta'!W19</f>
        <v>750.03995497425785</v>
      </c>
      <c r="AN7" s="109">
        <f>AM7*100</f>
        <v>75003.995497425785</v>
      </c>
      <c r="AO7" s="111"/>
    </row>
    <row r="8" spans="1:41" x14ac:dyDescent="0.3">
      <c r="B8" s="81" t="str">
        <v>TRD-2026-005</v>
      </c>
      <c r="C8" s="81" t="str">
        <v>Equity Index Future</v>
      </c>
      <c r="D8" s="81" t="str">
        <v>Long (Buyer)</v>
      </c>
      <c r="E8" s="81" t="str">
        <v>NASDAQ 100 Index</v>
      </c>
      <c r="F8" s="81" t="str">
        <v>28-Aug-2026</v>
      </c>
      <c r="G8" s="81" t="str">
        <v>18-Dec-2026</v>
      </c>
      <c r="H8" s="81" t="str">
        <v>USD</v>
      </c>
      <c r="I8" s="81">
        <v>20000000</v>
      </c>
      <c r="J8" s="81">
        <v>22000</v>
      </c>
      <c r="K8" s="81">
        <v>22150</v>
      </c>
      <c r="L8" s="81" t="str">
        <v xml:space="preserve">    - </v>
      </c>
      <c r="M8" s="81" t="str">
        <v xml:space="preserve">    - </v>
      </c>
      <c r="N8" s="81" t="str">
        <v xml:space="preserve">    - </v>
      </c>
      <c r="O8" s="81" t="str">
        <v xml:space="preserve">    - </v>
      </c>
      <c r="P8" s="81" t="str">
        <v xml:space="preserve">    - </v>
      </c>
      <c r="Q8" s="81" t="str">
        <v xml:space="preserve">    - </v>
      </c>
      <c r="R8" s="81" t="str">
        <v xml:space="preserve">    - </v>
      </c>
      <c r="S8" s="81" t="str">
        <v xml:space="preserve">    - </v>
      </c>
      <c r="T8" s="81" t="str">
        <v xml:space="preserve">    - </v>
      </c>
      <c r="U8" s="81" t="str">
        <v xml:space="preserve">    - </v>
      </c>
      <c r="V8" s="81" t="str">
        <v>Large-Cap Developed Market Index (Tech-heavy)</v>
      </c>
      <c r="W8" s="81" t="str">
        <v>Technology / Growth</v>
      </c>
      <c r="X8" s="81" t="str">
        <v>Large Cap</v>
      </c>
      <c r="Y8" s="81" t="str">
        <v>USD</v>
      </c>
      <c r="Z8" s="81" t="str">
        <v>Equity Delta - NASDAQ 100</v>
      </c>
      <c r="AA8" s="81" t="str">
        <v>Bucket 11 (Large-Cap, Developed - Indices/Funds)</v>
      </c>
      <c r="AB8" s="115" t="str" cm="1">
        <f t="array" ref="AB8">IF(OR(ISNUMBER(SEARCH("Option",$C8)),ISNUMBER(SEARCH("Swap",$C8))),IFERROR(_xlfn.XLOOKUP($AD8,'Market Rates'!$E$3:$S$3,_xlfn.XLOOKUP($H8,'Market Rates'!$B:$B,'Market Rates'!$E:$S)," - ",-1),"N/A"),"-")</f>
        <v>-</v>
      </c>
      <c r="AC8" s="111" t="str">
        <f t="shared" si="0"/>
        <v>-</v>
      </c>
      <c r="AD8" s="112">
        <f ca="1">G8-TODAY()</f>
        <v>94</v>
      </c>
      <c r="AE8" s="111" t="str">
        <f t="shared" si="1"/>
        <v>Linear</v>
      </c>
      <c r="AF8" s="111">
        <f t="shared" si="2"/>
        <v>1</v>
      </c>
      <c r="AG8" s="116">
        <f>AF8</f>
        <v>1</v>
      </c>
      <c r="AH8" s="111">
        <f>I8*AG8*AF8</f>
        <v>20000000</v>
      </c>
      <c r="AI8" s="111" t="s">
        <v>695</v>
      </c>
      <c r="AJ8" s="107">
        <f>IF(ISNUMBER(SEARCH("Option",C8)),I8*AI8,0)</f>
        <v>0</v>
      </c>
      <c r="AK8" s="107" t="s">
        <v>695</v>
      </c>
      <c r="AL8" s="107">
        <f>IF(ISNUMBER(SEARCH("Option",C8)),I8*AK8,0)</f>
        <v>0</v>
      </c>
      <c r="AM8" s="109">
        <v>0</v>
      </c>
      <c r="AN8" s="109">
        <f>AM8*100</f>
        <v>0</v>
      </c>
      <c r="AO8" s="111"/>
    </row>
    <row r="13" spans="1:41" x14ac:dyDescent="0.3">
      <c r="B13" s="72" t="s">
        <v>683</v>
      </c>
    </row>
    <row r="14" spans="1:41" x14ac:dyDescent="0.3">
      <c r="A14" s="72" t="s">
        <v>684</v>
      </c>
      <c r="B14" s="72" t="s">
        <v>760</v>
      </c>
    </row>
    <row r="16" spans="1:41" x14ac:dyDescent="0.3">
      <c r="B16" s="121" t="s">
        <v>772</v>
      </c>
      <c r="C16" s="121"/>
      <c r="D16" s="121"/>
      <c r="E16" s="121"/>
      <c r="F16" s="121"/>
      <c r="G16" s="122" t="s">
        <v>773</v>
      </c>
      <c r="H16" s="121" t="s">
        <v>769</v>
      </c>
      <c r="I16" s="121"/>
      <c r="J16" s="121"/>
      <c r="K16" s="121"/>
      <c r="L16" s="121" t="s">
        <v>764</v>
      </c>
      <c r="M16" s="121"/>
      <c r="N16" s="121"/>
      <c r="O16" s="121"/>
      <c r="P16" s="121" t="s">
        <v>691</v>
      </c>
      <c r="Q16" s="121"/>
      <c r="R16" s="121"/>
      <c r="S16" s="121"/>
      <c r="T16" s="121" t="s">
        <v>765</v>
      </c>
      <c r="U16" s="121"/>
      <c r="V16" s="121"/>
      <c r="W16" s="121"/>
      <c r="X16" s="121" t="s">
        <v>766</v>
      </c>
      <c r="Y16" s="121"/>
      <c r="Z16" s="121"/>
      <c r="AA16" s="121"/>
    </row>
    <row r="17" spans="1:27" x14ac:dyDescent="0.3">
      <c r="B17" s="117" t="str">
        <f>B3</f>
        <v>Trade Identification</v>
      </c>
      <c r="C17" s="117" t="str">
        <f>C3</f>
        <v>Product Type</v>
      </c>
      <c r="D17" s="117" t="str">
        <f>Z3</f>
        <v>SIMM Risk Factor</v>
      </c>
      <c r="E17" s="117" t="str">
        <f>E3</f>
        <v>Underlying/Reference</v>
      </c>
      <c r="F17" s="117" t="str">
        <f>AA3</f>
        <v>SIMM Bucket</v>
      </c>
      <c r="G17" s="118" t="s">
        <v>701</v>
      </c>
      <c r="H17" s="117" t="str">
        <f>AH3</f>
        <v>Equity Delta Sensitivity</v>
      </c>
      <c r="I17" s="117" t="str">
        <f>AJ3</f>
        <v>Equity Vega Sensitivity</v>
      </c>
      <c r="J17" s="117" t="str">
        <f>AL3</f>
        <v>Equity Curvature Sensitivity</v>
      </c>
      <c r="K17" s="117" t="str">
        <f>AN3</f>
        <v>Interest Delta Sensitivity</v>
      </c>
      <c r="L17" s="117" t="s">
        <v>761</v>
      </c>
      <c r="M17" s="117" t="s">
        <v>762</v>
      </c>
      <c r="N17" s="117" t="s">
        <v>763</v>
      </c>
      <c r="O17" s="117" t="s">
        <v>767</v>
      </c>
      <c r="P17" s="117" t="s">
        <v>761</v>
      </c>
      <c r="Q17" s="117" t="s">
        <v>762</v>
      </c>
      <c r="R17" s="117" t="s">
        <v>763</v>
      </c>
      <c r="S17" s="117" t="s">
        <v>768</v>
      </c>
      <c r="T17" s="117" t="s">
        <v>761</v>
      </c>
      <c r="U17" s="117" t="s">
        <v>762</v>
      </c>
      <c r="V17" s="117" t="s">
        <v>763</v>
      </c>
      <c r="W17" s="117" t="s">
        <v>770</v>
      </c>
      <c r="X17" s="117" t="s">
        <v>761</v>
      </c>
      <c r="Y17" s="117" t="s">
        <v>762</v>
      </c>
      <c r="Z17" s="117" t="s">
        <v>763</v>
      </c>
      <c r="AA17" s="117" t="s">
        <v>771</v>
      </c>
    </row>
    <row r="18" spans="1:27" x14ac:dyDescent="0.3">
      <c r="B18" s="117" t="str">
        <f t="shared" ref="B18:C18" si="4">B4</f>
        <v>TRD-2026-001</v>
      </c>
      <c r="C18" s="117" t="str">
        <f t="shared" si="4"/>
        <v>Equity Index Forward</v>
      </c>
      <c r="D18" s="117" t="str">
        <f t="shared" ref="D18:D21" si="5">Z4</f>
        <v>Equity Delta - S&amp;P 500</v>
      </c>
      <c r="E18" s="117" t="str">
        <f t="shared" ref="E18:E22" si="6">E4</f>
        <v>S&amp;P 500 Index</v>
      </c>
      <c r="F18" s="117" t="str">
        <f t="shared" ref="F18:F22" si="7">AA4</f>
        <v>Bucket 11 (Large-Cap, Developed - Indices/Funds)</v>
      </c>
      <c r="G18" s="119">
        <v>0.15</v>
      </c>
      <c r="H18" s="117">
        <f>AH4</f>
        <v>25000000</v>
      </c>
      <c r="I18" s="117">
        <f>AJ4</f>
        <v>0</v>
      </c>
      <c r="J18" s="117">
        <f>AL4</f>
        <v>0</v>
      </c>
      <c r="K18" s="120">
        <f>AN4</f>
        <v>0</v>
      </c>
      <c r="L18" s="117">
        <v>10000000</v>
      </c>
      <c r="M18" s="117">
        <f>ABS(H18/L18)</f>
        <v>2.5</v>
      </c>
      <c r="N18" s="117">
        <f>MAX(1,M18^0.5)</f>
        <v>1.5811388300841898</v>
      </c>
      <c r="O18" s="117">
        <f>H18*N18</f>
        <v>39528470.752104744</v>
      </c>
      <c r="P18" s="117">
        <v>50000000</v>
      </c>
      <c r="Q18" s="117">
        <f>ABS(I18/P18)</f>
        <v>0</v>
      </c>
      <c r="R18" s="117">
        <f>MAX(1,Q18^0.5)</f>
        <v>1</v>
      </c>
      <c r="S18" s="117">
        <f>J18*R18</f>
        <v>0</v>
      </c>
      <c r="T18" s="120">
        <v>0</v>
      </c>
      <c r="U18" s="117">
        <f>IFERROR(ABS(J18/T18),0)</f>
        <v>0</v>
      </c>
      <c r="V18" s="117">
        <f>MAX(1,U18^0.5)</f>
        <v>1</v>
      </c>
      <c r="W18" s="117">
        <f>J18*V18</f>
        <v>0</v>
      </c>
      <c r="X18" s="120">
        <v>0</v>
      </c>
      <c r="Y18" s="117">
        <f>IFERROR(ABS(K18/X18),0)</f>
        <v>0</v>
      </c>
      <c r="Z18" s="117">
        <f>MAX(1,Y18^0.5)</f>
        <v>1</v>
      </c>
      <c r="AA18" s="117">
        <f>Z18*K18</f>
        <v>0</v>
      </c>
    </row>
    <row r="19" spans="1:27" x14ac:dyDescent="0.3">
      <c r="B19" s="117" t="str">
        <f t="shared" ref="B19:C19" si="8">B5</f>
        <v>TRD-2026-002</v>
      </c>
      <c r="C19" s="117" t="str">
        <f t="shared" si="8"/>
        <v>Equity Index Option (Vanilla Call)</v>
      </c>
      <c r="D19" s="117" t="str">
        <f t="shared" si="5"/>
        <v>Equity Delta &amp; Vega &amp; Curvature - S&amp;P 500</v>
      </c>
      <c r="E19" s="117" t="str">
        <f t="shared" si="6"/>
        <v>S&amp;P 500 Index</v>
      </c>
      <c r="F19" s="117" t="str">
        <f t="shared" si="7"/>
        <v>Bucket 11 (Large-Cap, Developed - Indices/Funds)</v>
      </c>
      <c r="G19" s="119">
        <v>0.15</v>
      </c>
      <c r="H19" s="117">
        <f ca="1">AH5</f>
        <v>4830452.8256693082</v>
      </c>
      <c r="I19" s="117">
        <f t="shared" ref="I19:I22" ca="1" si="9">AJ5</f>
        <v>190792059.99421397</v>
      </c>
      <c r="J19" s="117">
        <f t="shared" ref="J19:J22" ca="1" si="10">AL5</f>
        <v>69278961.265910551</v>
      </c>
      <c r="K19" s="120">
        <f t="shared" ref="K19:K22" si="11">AN5</f>
        <v>0</v>
      </c>
      <c r="L19" s="117">
        <v>10000000</v>
      </c>
      <c r="M19" s="117">
        <f ca="1">ABS(H19/L19)</f>
        <v>0.4830452825669308</v>
      </c>
      <c r="N19" s="117">
        <f t="shared" ref="N19:N22" ca="1" si="12">MAX(1,M19^0.5)</f>
        <v>1</v>
      </c>
      <c r="O19" s="117">
        <f ca="1">H19*N19</f>
        <v>4830452.8256693082</v>
      </c>
      <c r="P19" s="117">
        <v>50000000</v>
      </c>
      <c r="Q19" s="117">
        <f t="shared" ref="Q19:Q22" ca="1" si="13">ABS(I19/P19)</f>
        <v>3.8158411998842792</v>
      </c>
      <c r="R19" s="117">
        <f t="shared" ref="R19:R22" ca="1" si="14">MAX(1,Q19^0.5)</f>
        <v>1.9534178252192436</v>
      </c>
      <c r="S19" s="117">
        <f t="shared" ref="S19:S22" ca="1" si="15">J19*R19</f>
        <v>135330757.84950319</v>
      </c>
      <c r="T19" s="120">
        <v>0</v>
      </c>
      <c r="U19" s="117">
        <f t="shared" ref="U19:U22" ca="1" si="16">IFERROR(ABS(J19/T19),0)</f>
        <v>0</v>
      </c>
      <c r="V19" s="117">
        <f t="shared" ref="V19:V22" ca="1" si="17">MAX(1,U19^0.5)</f>
        <v>1</v>
      </c>
      <c r="W19" s="117">
        <f t="shared" ref="W19:W22" ca="1" si="18">J19*V19</f>
        <v>69278961.265910551</v>
      </c>
      <c r="X19" s="120">
        <v>1</v>
      </c>
      <c r="Y19" s="117">
        <f t="shared" ref="Y19:Y22" si="19">IFERROR(ABS(K19/X19),0)</f>
        <v>0</v>
      </c>
      <c r="Z19" s="117">
        <f t="shared" ref="Z19:Z22" si="20">MAX(1,Y19^0.5)</f>
        <v>1</v>
      </c>
      <c r="AA19" s="117">
        <f t="shared" ref="AA19:AA22" si="21">Z19*K19</f>
        <v>0</v>
      </c>
    </row>
    <row r="20" spans="1:27" x14ac:dyDescent="0.3">
      <c r="B20" s="117" t="str">
        <f t="shared" ref="B20:C20" si="22">B6</f>
        <v>TRD-2026-003</v>
      </c>
      <c r="C20" s="117" t="str">
        <f t="shared" si="22"/>
        <v>Equity Index Option (Vanilla Put) - Hedge</v>
      </c>
      <c r="D20" s="117" t="str">
        <f t="shared" si="5"/>
        <v>Equity Delta &amp; Vega &amp; Curvature - Euro Stoxx 50</v>
      </c>
      <c r="E20" s="117" t="str">
        <f t="shared" si="6"/>
        <v>Euro Stoxx 50 Index</v>
      </c>
      <c r="F20" s="117" t="str">
        <f t="shared" si="7"/>
        <v>Bucket 11 (Large-Cap, Developed - Indices/Funds)</v>
      </c>
      <c r="G20" s="119">
        <v>0.15</v>
      </c>
      <c r="H20" s="117">
        <f t="shared" ref="H20:H22" ca="1" si="23">AH6</f>
        <v>-3955908.7820780836</v>
      </c>
      <c r="I20" s="117">
        <f t="shared" ca="1" si="9"/>
        <v>152960752.59310701</v>
      </c>
      <c r="J20" s="117">
        <f t="shared" ca="1" si="10"/>
        <v>129003044.35563239</v>
      </c>
      <c r="K20" s="120">
        <f t="shared" si="11"/>
        <v>0</v>
      </c>
      <c r="L20" s="117">
        <v>10000000</v>
      </c>
      <c r="M20" s="117">
        <f ca="1">ABS(H20/L20)</f>
        <v>0.39559087820780836</v>
      </c>
      <c r="N20" s="117">
        <f t="shared" ca="1" si="12"/>
        <v>1</v>
      </c>
      <c r="O20" s="117">
        <f ca="1">H20*N20</f>
        <v>-3955908.7820780836</v>
      </c>
      <c r="P20" s="117">
        <v>50000000</v>
      </c>
      <c r="Q20" s="117">
        <f t="shared" ca="1" si="13"/>
        <v>3.0592150518621404</v>
      </c>
      <c r="R20" s="117">
        <f t="shared" ca="1" si="14"/>
        <v>1.7490611915716787</v>
      </c>
      <c r="S20" s="117">
        <f t="shared" ca="1" si="15"/>
        <v>225634218.47703651</v>
      </c>
      <c r="T20" s="120">
        <v>0</v>
      </c>
      <c r="U20" s="117">
        <f t="shared" ca="1" si="16"/>
        <v>0</v>
      </c>
      <c r="V20" s="117">
        <f t="shared" ca="1" si="17"/>
        <v>1</v>
      </c>
      <c r="W20" s="117">
        <f t="shared" ca="1" si="18"/>
        <v>129003044.35563239</v>
      </c>
      <c r="X20" s="120">
        <v>2</v>
      </c>
      <c r="Y20" s="117">
        <f t="shared" si="19"/>
        <v>0</v>
      </c>
      <c r="Z20" s="117">
        <f t="shared" si="20"/>
        <v>1</v>
      </c>
      <c r="AA20" s="117">
        <f t="shared" si="21"/>
        <v>0</v>
      </c>
    </row>
    <row r="21" spans="1:27" x14ac:dyDescent="0.3">
      <c r="B21" s="117" t="str">
        <f t="shared" ref="B21:C21" si="24">B7</f>
        <v>TRD-2026-004</v>
      </c>
      <c r="C21" s="117" t="str">
        <f t="shared" si="24"/>
        <v>Total Return Swap (Equity)</v>
      </c>
      <c r="D21" s="117" t="str">
        <f t="shared" si="5"/>
        <v>Equity Delta - S&amp;P 500; IR Delta - SOFR</v>
      </c>
      <c r="E21" s="117" t="str">
        <f t="shared" si="6"/>
        <v>S&amp;P 500 Index</v>
      </c>
      <c r="F21" s="117" t="str">
        <f t="shared" si="7"/>
        <v>Equity: Bucket 11 (Index); IR: USD</v>
      </c>
      <c r="G21" s="119">
        <v>0.15</v>
      </c>
      <c r="H21" s="117">
        <f t="shared" si="23"/>
        <v>30000000</v>
      </c>
      <c r="I21" s="117">
        <f t="shared" si="9"/>
        <v>0</v>
      </c>
      <c r="J21" s="117">
        <f t="shared" si="10"/>
        <v>0</v>
      </c>
      <c r="K21" s="120">
        <f t="shared" si="11"/>
        <v>75003.995497425785</v>
      </c>
      <c r="L21" s="117">
        <v>10000000</v>
      </c>
      <c r="M21" s="117">
        <f>ABS(H21/L21)</f>
        <v>3</v>
      </c>
      <c r="N21" s="117">
        <f t="shared" si="12"/>
        <v>1.7320508075688772</v>
      </c>
      <c r="O21" s="117">
        <f>H21*N21</f>
        <v>51961524.227066316</v>
      </c>
      <c r="P21" s="117">
        <v>50000000</v>
      </c>
      <c r="Q21" s="117">
        <f t="shared" si="13"/>
        <v>0</v>
      </c>
      <c r="R21" s="117">
        <f t="shared" si="14"/>
        <v>1</v>
      </c>
      <c r="S21" s="117">
        <f t="shared" si="15"/>
        <v>0</v>
      </c>
      <c r="T21" s="120">
        <v>0</v>
      </c>
      <c r="U21" s="117">
        <f t="shared" si="16"/>
        <v>0</v>
      </c>
      <c r="V21" s="117">
        <f t="shared" si="17"/>
        <v>1</v>
      </c>
      <c r="W21" s="117">
        <f t="shared" si="18"/>
        <v>0</v>
      </c>
      <c r="X21" s="120">
        <v>3</v>
      </c>
      <c r="Y21" s="117">
        <f t="shared" si="19"/>
        <v>25001.331832475262</v>
      </c>
      <c r="Z21" s="117">
        <f t="shared" si="20"/>
        <v>158.11809457641229</v>
      </c>
      <c r="AA21" s="117">
        <f t="shared" si="21"/>
        <v>11859488.853670772</v>
      </c>
    </row>
    <row r="22" spans="1:27" x14ac:dyDescent="0.3">
      <c r="B22" s="117" t="str">
        <f>B8</f>
        <v>TRD-2026-005</v>
      </c>
      <c r="C22" s="117" t="str">
        <f>C8</f>
        <v>Equity Index Future</v>
      </c>
      <c r="D22" s="117" t="str">
        <f>Z8</f>
        <v>Equity Delta - NASDAQ 100</v>
      </c>
      <c r="E22" s="117" t="str">
        <f t="shared" si="6"/>
        <v>NASDAQ 100 Index</v>
      </c>
      <c r="F22" s="117" t="str">
        <f t="shared" si="7"/>
        <v>Bucket 11 (Large-Cap, Developed - Indices/Funds)</v>
      </c>
      <c r="G22" s="119">
        <v>0.15</v>
      </c>
      <c r="H22" s="117">
        <f t="shared" si="23"/>
        <v>20000000</v>
      </c>
      <c r="I22" s="117">
        <f t="shared" si="9"/>
        <v>0</v>
      </c>
      <c r="J22" s="117">
        <f t="shared" si="10"/>
        <v>0</v>
      </c>
      <c r="K22" s="120">
        <f t="shared" si="11"/>
        <v>0</v>
      </c>
      <c r="L22" s="117">
        <v>10000000</v>
      </c>
      <c r="M22" s="117">
        <f>ABS(H22/L22)</f>
        <v>2</v>
      </c>
      <c r="N22" s="117">
        <f t="shared" si="12"/>
        <v>1.4142135623730951</v>
      </c>
      <c r="O22" s="117">
        <f>H22*N22</f>
        <v>28284271.247461904</v>
      </c>
      <c r="P22" s="117">
        <v>50000000</v>
      </c>
      <c r="Q22" s="117">
        <f t="shared" si="13"/>
        <v>0</v>
      </c>
      <c r="R22" s="117">
        <f t="shared" si="14"/>
        <v>1</v>
      </c>
      <c r="S22" s="117">
        <f t="shared" si="15"/>
        <v>0</v>
      </c>
      <c r="T22" s="120">
        <v>0</v>
      </c>
      <c r="U22" s="117">
        <f t="shared" si="16"/>
        <v>0</v>
      </c>
      <c r="V22" s="117">
        <f t="shared" si="17"/>
        <v>1</v>
      </c>
      <c r="W22" s="117">
        <f t="shared" si="18"/>
        <v>0</v>
      </c>
      <c r="X22" s="120">
        <v>4</v>
      </c>
      <c r="Y22" s="117">
        <f t="shared" si="19"/>
        <v>0</v>
      </c>
      <c r="Z22" s="117">
        <f t="shared" si="20"/>
        <v>1</v>
      </c>
      <c r="AA22" s="117">
        <f t="shared" si="21"/>
        <v>0</v>
      </c>
    </row>
    <row r="24" spans="1:27" x14ac:dyDescent="0.3">
      <c r="A24" s="72" t="s">
        <v>687</v>
      </c>
      <c r="B24" s="72" t="s">
        <v>774</v>
      </c>
    </row>
    <row r="26" spans="1:27" x14ac:dyDescent="0.3">
      <c r="R26" s="21" t="s">
        <v>778</v>
      </c>
    </row>
    <row r="27" spans="1:27" x14ac:dyDescent="0.3">
      <c r="B27" s="123" t="s">
        <v>783</v>
      </c>
      <c r="C27" s="123"/>
      <c r="D27" s="123" t="s">
        <v>775</v>
      </c>
      <c r="E27" s="123"/>
      <c r="F27" s="123" t="s">
        <v>776</v>
      </c>
      <c r="G27" s="123"/>
      <c r="H27" s="123" t="s">
        <v>777</v>
      </c>
      <c r="I27" s="123"/>
      <c r="J27" s="124" t="s">
        <v>778</v>
      </c>
      <c r="K27" s="124"/>
    </row>
    <row r="28" spans="1:27" x14ac:dyDescent="0.3">
      <c r="B28" s="81" t="str">
        <f>B17&amp;"/"&amp;E17</f>
        <v>Trade Identification/Underlying/Reference</v>
      </c>
      <c r="C28" s="81" t="str">
        <f>G17</f>
        <v xml:space="preserve">Risk weight as per SIMM </v>
      </c>
      <c r="D28" s="81" t="str">
        <f>O17</f>
        <v>Concentration Adjusted Delta</v>
      </c>
      <c r="E28" s="81" t="s">
        <v>757</v>
      </c>
      <c r="F28" s="81" t="str">
        <f t="shared" ref="F28:F33" si="25">S17</f>
        <v>Concentration Adjusted Vega</v>
      </c>
      <c r="G28" s="81" t="s">
        <v>758</v>
      </c>
      <c r="H28" s="81" t="s">
        <v>770</v>
      </c>
      <c r="I28" s="81" t="s">
        <v>759</v>
      </c>
      <c r="J28" s="81" t="str">
        <f t="shared" ref="J28:J33" si="26">AA17</f>
        <v>Concentration Adjusted IR</v>
      </c>
      <c r="K28" s="81" t="s">
        <v>779</v>
      </c>
    </row>
    <row r="29" spans="1:27" x14ac:dyDescent="0.3">
      <c r="B29" s="81" t="str">
        <f t="shared" ref="B29:B33" si="27">B18&amp;"/"&amp;E18</f>
        <v>TRD-2026-001/S&amp;P 500 Index</v>
      </c>
      <c r="C29" s="125">
        <f>G18</f>
        <v>0.15</v>
      </c>
      <c r="D29" s="126">
        <f>O18</f>
        <v>39528470.752104744</v>
      </c>
      <c r="E29" s="81">
        <f>D29*C29</f>
        <v>5929270.6128157116</v>
      </c>
      <c r="F29" s="126">
        <f t="shared" si="25"/>
        <v>0</v>
      </c>
      <c r="G29" s="81">
        <f>F29*C29</f>
        <v>0</v>
      </c>
      <c r="H29" s="81">
        <f>W18</f>
        <v>0</v>
      </c>
      <c r="I29" s="81">
        <f>C29*H29</f>
        <v>0</v>
      </c>
      <c r="J29" s="81">
        <f t="shared" si="26"/>
        <v>0</v>
      </c>
      <c r="K29" s="81">
        <f>J29*C29</f>
        <v>0</v>
      </c>
    </row>
    <row r="30" spans="1:27" x14ac:dyDescent="0.3">
      <c r="B30" s="81" t="str">
        <f t="shared" si="27"/>
        <v>TRD-2026-002/S&amp;P 500 Index</v>
      </c>
      <c r="C30" s="125">
        <f t="shared" ref="C30:C33" si="28">G19</f>
        <v>0.15</v>
      </c>
      <c r="D30" s="126">
        <f t="shared" ref="D30:D33" ca="1" si="29">O19</f>
        <v>4830452.8256693082</v>
      </c>
      <c r="E30" s="81">
        <f t="shared" ref="E30:E33" ca="1" si="30">D30*C30</f>
        <v>724567.92385039618</v>
      </c>
      <c r="F30" s="126">
        <f t="shared" ca="1" si="25"/>
        <v>135330757.84950319</v>
      </c>
      <c r="G30" s="81">
        <f ca="1">F30*C30</f>
        <v>20299613.677425478</v>
      </c>
      <c r="H30" s="81">
        <f ca="1">W19</f>
        <v>69278961.265910551</v>
      </c>
      <c r="I30" s="81">
        <f ca="1">C30*H30</f>
        <v>10391844.189886583</v>
      </c>
      <c r="J30" s="81">
        <f t="shared" si="26"/>
        <v>0</v>
      </c>
      <c r="K30" s="81">
        <f t="shared" ref="K30:K33" si="31">J30*C30</f>
        <v>0</v>
      </c>
    </row>
    <row r="31" spans="1:27" x14ac:dyDescent="0.3">
      <c r="B31" s="81" t="str">
        <f t="shared" si="27"/>
        <v>TRD-2026-003/Euro Stoxx 50 Index</v>
      </c>
      <c r="C31" s="125">
        <f t="shared" si="28"/>
        <v>0.15</v>
      </c>
      <c r="D31" s="126">
        <f t="shared" ca="1" si="29"/>
        <v>-3955908.7820780836</v>
      </c>
      <c r="E31" s="81">
        <f t="shared" ca="1" si="30"/>
        <v>-593386.31731171254</v>
      </c>
      <c r="F31" s="126">
        <f t="shared" ca="1" si="25"/>
        <v>225634218.47703651</v>
      </c>
      <c r="G31" s="81">
        <f ca="1">F31*C31</f>
        <v>33845132.771555476</v>
      </c>
      <c r="H31" s="81">
        <f ca="1">W20</f>
        <v>129003044.35563239</v>
      </c>
      <c r="I31" s="81">
        <f ca="1">C31*H31</f>
        <v>19350456.653344858</v>
      </c>
      <c r="J31" s="81">
        <f t="shared" si="26"/>
        <v>0</v>
      </c>
      <c r="K31" s="81">
        <f t="shared" si="31"/>
        <v>0</v>
      </c>
    </row>
    <row r="32" spans="1:27" x14ac:dyDescent="0.3">
      <c r="B32" s="81" t="str">
        <f t="shared" si="27"/>
        <v>TRD-2026-004/S&amp;P 500 Index</v>
      </c>
      <c r="C32" s="125">
        <f t="shared" si="28"/>
        <v>0.15</v>
      </c>
      <c r="D32" s="126">
        <f t="shared" si="29"/>
        <v>51961524.227066316</v>
      </c>
      <c r="E32" s="81">
        <f t="shared" si="30"/>
        <v>7794228.634059947</v>
      </c>
      <c r="F32" s="126">
        <f t="shared" si="25"/>
        <v>0</v>
      </c>
      <c r="G32" s="81">
        <f>F32*C32</f>
        <v>0</v>
      </c>
      <c r="H32" s="81">
        <f>W21</f>
        <v>0</v>
      </c>
      <c r="I32" s="81">
        <f>C32*H32</f>
        <v>0</v>
      </c>
      <c r="J32" s="81">
        <f t="shared" si="26"/>
        <v>11859488.853670772</v>
      </c>
      <c r="K32" s="81">
        <f t="shared" si="31"/>
        <v>1778923.3280506157</v>
      </c>
    </row>
    <row r="33" spans="1:11" x14ac:dyDescent="0.3">
      <c r="B33" s="81" t="str">
        <f t="shared" si="27"/>
        <v>TRD-2026-005/NASDAQ 100 Index</v>
      </c>
      <c r="C33" s="125">
        <f t="shared" si="28"/>
        <v>0.15</v>
      </c>
      <c r="D33" s="126">
        <f t="shared" si="29"/>
        <v>28284271.247461904</v>
      </c>
      <c r="E33" s="81">
        <f t="shared" si="30"/>
        <v>4242640.6871192856</v>
      </c>
      <c r="F33" s="126">
        <f t="shared" si="25"/>
        <v>0</v>
      </c>
      <c r="G33" s="81">
        <f>F33*C33</f>
        <v>0</v>
      </c>
      <c r="H33" s="81">
        <f>W22</f>
        <v>0</v>
      </c>
      <c r="I33" s="81">
        <f>C33*H33</f>
        <v>0</v>
      </c>
      <c r="J33" s="81">
        <f t="shared" si="26"/>
        <v>0</v>
      </c>
      <c r="K33" s="81">
        <f t="shared" si="31"/>
        <v>0</v>
      </c>
    </row>
    <row r="34" spans="1:11" x14ac:dyDescent="0.3">
      <c r="D34" s="27"/>
    </row>
    <row r="36" spans="1:11" x14ac:dyDescent="0.3">
      <c r="A36" s="72" t="s">
        <v>780</v>
      </c>
      <c r="B36" s="72" t="s">
        <v>781</v>
      </c>
    </row>
    <row r="38" spans="1:11" x14ac:dyDescent="0.3">
      <c r="B38" s="111" t="s">
        <v>782</v>
      </c>
      <c r="C38" s="111" t="s">
        <v>787</v>
      </c>
      <c r="D38" s="111" t="s">
        <v>786</v>
      </c>
      <c r="E38" s="111" t="s">
        <v>785</v>
      </c>
      <c r="F38" s="111" t="s">
        <v>784</v>
      </c>
    </row>
    <row r="39" spans="1:11" x14ac:dyDescent="0.3">
      <c r="B39" s="127" t="str">
        <f>E18</f>
        <v>S&amp;P 500 Index</v>
      </c>
      <c r="C39" s="81">
        <f ca="1">E29+E30+E32</f>
        <v>14448067.170726055</v>
      </c>
      <c r="D39" s="81">
        <f ca="1">G29+G30+G32</f>
        <v>20299613.677425478</v>
      </c>
      <c r="E39" s="81">
        <f ca="1">I29+I30+I32</f>
        <v>10391844.189886583</v>
      </c>
      <c r="F39" s="81">
        <f>K29+K30+K32</f>
        <v>1778923.3280506157</v>
      </c>
    </row>
    <row r="40" spans="1:11" x14ac:dyDescent="0.3">
      <c r="B40" s="127" t="str">
        <f>E20</f>
        <v>Euro Stoxx 50 Index</v>
      </c>
      <c r="C40" s="81">
        <f ca="1">E31</f>
        <v>-593386.31731171254</v>
      </c>
      <c r="D40" s="81">
        <f ca="1">G31</f>
        <v>33845132.771555476</v>
      </c>
      <c r="E40" s="81">
        <f ca="1">I31</f>
        <v>19350456.653344858</v>
      </c>
      <c r="F40" s="81">
        <f>K30</f>
        <v>0</v>
      </c>
    </row>
    <row r="41" spans="1:11" x14ac:dyDescent="0.3">
      <c r="B41" s="127" t="str">
        <f>E22</f>
        <v>NASDAQ 100 Index</v>
      </c>
      <c r="C41" s="81">
        <f>E33</f>
        <v>4242640.6871192856</v>
      </c>
      <c r="D41" s="81">
        <f>G33</f>
        <v>0</v>
      </c>
      <c r="E41" s="81">
        <f>I33</f>
        <v>0</v>
      </c>
      <c r="F41" s="81">
        <f>K33</f>
        <v>0</v>
      </c>
    </row>
    <row r="42" spans="1:11" x14ac:dyDescent="0.3">
      <c r="B42" s="128"/>
      <c r="C42" s="128"/>
      <c r="D42" s="128"/>
      <c r="E42" s="128"/>
      <c r="F42" s="128"/>
    </row>
    <row r="45" spans="1:11" x14ac:dyDescent="0.3">
      <c r="A45" s="72" t="s">
        <v>788</v>
      </c>
      <c r="B45" s="72" t="s">
        <v>789</v>
      </c>
    </row>
    <row r="47" spans="1:11" x14ac:dyDescent="0.3">
      <c r="B47" s="129" t="s">
        <v>790</v>
      </c>
      <c r="C47" s="129" t="str">
        <f>B39</f>
        <v>S&amp;P 500 Index</v>
      </c>
      <c r="D47" s="129" t="str">
        <f>B40</f>
        <v>Euro Stoxx 50 Index</v>
      </c>
      <c r="E47" s="129" t="str">
        <f>B41</f>
        <v>NASDAQ 100 Index</v>
      </c>
    </row>
    <row r="48" spans="1:11" x14ac:dyDescent="0.3">
      <c r="B48" s="129" t="str">
        <f>B39</f>
        <v>S&amp;P 500 Index</v>
      </c>
      <c r="C48" s="130">
        <v>1</v>
      </c>
      <c r="D48" s="130">
        <v>0.46</v>
      </c>
      <c r="E48" s="130">
        <v>0.46</v>
      </c>
    </row>
    <row r="49" spans="2:5" x14ac:dyDescent="0.3">
      <c r="B49" s="129" t="str">
        <f>B40</f>
        <v>Euro Stoxx 50 Index</v>
      </c>
      <c r="C49" s="130">
        <v>0.46</v>
      </c>
      <c r="D49" s="130">
        <v>1</v>
      </c>
      <c r="E49" s="130">
        <v>0.46</v>
      </c>
    </row>
    <row r="50" spans="2:5" x14ac:dyDescent="0.3">
      <c r="B50" s="129" t="str">
        <f>B41</f>
        <v>NASDAQ 100 Index</v>
      </c>
      <c r="C50" s="130">
        <v>0.46</v>
      </c>
      <c r="D50" s="130">
        <v>0.46</v>
      </c>
      <c r="E50" s="130">
        <v>1</v>
      </c>
    </row>
    <row r="53" spans="2:5" x14ac:dyDescent="0.3">
      <c r="B53" s="73" t="s">
        <v>791</v>
      </c>
      <c r="C53" s="73" cm="1">
        <f t="array" aca="1" ref="C53" ca="1">SQRT(MMULT(TRANSPOSE(C39:C41),MMULT(C48:E50,C39:C41)))</f>
        <v>16531464.781755442</v>
      </c>
    </row>
    <row r="54" spans="2:5" x14ac:dyDescent="0.3">
      <c r="B54" s="73" t="s">
        <v>792</v>
      </c>
      <c r="C54" s="73" cm="1">
        <f t="array" aca="1" ref="C54" ca="1">SQRT(MMULT(TRANSPOSE(D39:D41),MMULT(C48:E50,D39:D41)))</f>
        <v>46793664.082766443</v>
      </c>
    </row>
    <row r="55" spans="2:5" x14ac:dyDescent="0.3">
      <c r="B55" s="73" t="s">
        <v>793</v>
      </c>
      <c r="C55" s="73" cm="1">
        <f t="array" aca="1" ref="C55" ca="1">SQRT(MMULT(TRANSPOSE(E39:E41),MMULT(C48:E50*C48:E50,E39:E41)))</f>
        <v>23822900.481813308</v>
      </c>
    </row>
    <row r="56" spans="2:5" x14ac:dyDescent="0.3">
      <c r="B56" s="73" t="s">
        <v>794</v>
      </c>
      <c r="C56" s="73">
        <f>ABS(F39)</f>
        <v>1778923.3280506157</v>
      </c>
    </row>
    <row r="59" spans="2:5" ht="15" thickBot="1" x14ac:dyDescent="0.35"/>
    <row r="60" spans="2:5" x14ac:dyDescent="0.3">
      <c r="B60" s="131" t="s">
        <v>795</v>
      </c>
      <c r="C60" s="132">
        <f ca="1">C53+C54+C55</f>
        <v>87148029.346335188</v>
      </c>
    </row>
    <row r="61" spans="2:5" x14ac:dyDescent="0.3">
      <c r="B61" s="133"/>
      <c r="C61" s="134"/>
    </row>
    <row r="62" spans="2:5" ht="15" thickBot="1" x14ac:dyDescent="0.35">
      <c r="B62" s="135" t="s">
        <v>796</v>
      </c>
      <c r="C62" s="136">
        <f>C56</f>
        <v>1778923.3280506157</v>
      </c>
    </row>
    <row r="67" spans="1:4" x14ac:dyDescent="0.3">
      <c r="A67" s="72" t="s">
        <v>0</v>
      </c>
      <c r="B67" s="72" t="s">
        <v>797</v>
      </c>
    </row>
    <row r="69" spans="1:4" x14ac:dyDescent="0.3">
      <c r="B69" s="73" t="s">
        <v>798</v>
      </c>
      <c r="C69" s="73" t="s">
        <v>117</v>
      </c>
      <c r="D69" s="73" t="s">
        <v>126</v>
      </c>
    </row>
    <row r="70" spans="1:4" x14ac:dyDescent="0.3">
      <c r="B70" s="73" t="s">
        <v>117</v>
      </c>
      <c r="C70" s="137">
        <v>1</v>
      </c>
      <c r="D70" s="137">
        <v>0.12</v>
      </c>
    </row>
    <row r="71" spans="1:4" x14ac:dyDescent="0.3">
      <c r="B71" s="73" t="s">
        <v>126</v>
      </c>
      <c r="C71" s="137">
        <v>0.12</v>
      </c>
      <c r="D71" s="137">
        <v>1</v>
      </c>
    </row>
    <row r="74" spans="1:4" ht="21" x14ac:dyDescent="0.4">
      <c r="A74" s="138" t="s">
        <v>0</v>
      </c>
      <c r="B74" s="140" t="s">
        <v>799</v>
      </c>
    </row>
    <row r="76" spans="1:4" ht="28.2" x14ac:dyDescent="0.55000000000000004">
      <c r="B76" s="139" t="s">
        <v>800</v>
      </c>
      <c r="C76" s="139">
        <f ca="1">SQRT(C60^2+C62^2+2*D70*C60*C62)</f>
        <v>87379349.426121622</v>
      </c>
    </row>
  </sheetData>
  <mergeCells count="11">
    <mergeCell ref="L16:O16"/>
    <mergeCell ref="T16:W16"/>
    <mergeCell ref="X16:AA16"/>
    <mergeCell ref="P16:S16"/>
    <mergeCell ref="H16:K16"/>
    <mergeCell ref="B16:F16"/>
    <mergeCell ref="D27:E27"/>
    <mergeCell ref="F27:G27"/>
    <mergeCell ref="H27:I27"/>
    <mergeCell ref="J27:K27"/>
    <mergeCell ref="B27:C27"/>
  </mergeCells>
  <pageMargins left="0.7" right="0.7" top="0.75" bottom="0.75" header="0.3" footer="0.3"/>
  <pageSetup orientation="portrait" r:id="rId1"/>
  <ignoredErrors>
    <ignoredError sqref="D17:D22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2D32-51FD-44EA-A579-3731651A08D0}">
  <sheetPr>
    <tabColor theme="3"/>
  </sheetPr>
  <dimension ref="B3:AA7"/>
  <sheetViews>
    <sheetView showGridLines="0" workbookViewId="0">
      <selection activeCell="B3" sqref="B3:AA7"/>
    </sheetView>
  </sheetViews>
  <sheetFormatPr defaultColWidth="15.77734375" defaultRowHeight="14.4" x14ac:dyDescent="0.3"/>
  <cols>
    <col min="3" max="3" width="20.21875" bestFit="1" customWidth="1"/>
    <col min="4" max="4" width="36.33203125" bestFit="1" customWidth="1"/>
    <col min="5" max="5" width="18.6640625" bestFit="1" customWidth="1"/>
    <col min="9" max="9" width="5.5546875" bestFit="1" customWidth="1"/>
    <col min="10" max="10" width="14.5546875" bestFit="1" customWidth="1"/>
    <col min="11" max="11" width="17.6640625" bestFit="1" customWidth="1"/>
    <col min="12" max="12" width="37.109375" bestFit="1" customWidth="1"/>
    <col min="13" max="13" width="16.6640625" bestFit="1" customWidth="1"/>
    <col min="14" max="14" width="22.5546875" bestFit="1" customWidth="1"/>
    <col min="15" max="15" width="19.33203125" bestFit="1" customWidth="1"/>
    <col min="20" max="20" width="20.44140625" bestFit="1" customWidth="1"/>
  </cols>
  <sheetData>
    <row r="3" spans="2:27" s="14" customFormat="1" ht="14.4" customHeight="1" x14ac:dyDescent="0.3">
      <c r="B3" s="15" t="s">
        <v>100</v>
      </c>
      <c r="C3" s="15" t="s">
        <v>101</v>
      </c>
      <c r="D3" s="15" t="s">
        <v>102</v>
      </c>
      <c r="E3" s="15" t="s">
        <v>103</v>
      </c>
      <c r="F3" s="15" t="s">
        <v>509</v>
      </c>
      <c r="G3" s="15" t="s">
        <v>104</v>
      </c>
      <c r="H3" s="15" t="s">
        <v>110</v>
      </c>
      <c r="I3" s="15" t="s">
        <v>113</v>
      </c>
      <c r="J3" s="15" t="s">
        <v>135</v>
      </c>
      <c r="K3" s="15" t="s">
        <v>136</v>
      </c>
      <c r="L3" s="15" t="s">
        <v>138</v>
      </c>
      <c r="M3" s="15" t="s">
        <v>515</v>
      </c>
      <c r="N3" s="15" t="s">
        <v>141</v>
      </c>
      <c r="O3" s="15" t="s">
        <v>140</v>
      </c>
      <c r="P3" s="15" t="s">
        <v>590</v>
      </c>
      <c r="Q3" s="15" t="s">
        <v>591</v>
      </c>
      <c r="R3" s="15" t="s">
        <v>588</v>
      </c>
      <c r="S3" s="15" t="s">
        <v>589</v>
      </c>
      <c r="T3" s="15" t="s">
        <v>592</v>
      </c>
      <c r="U3" s="15" t="s">
        <v>593</v>
      </c>
      <c r="V3" s="15" t="s">
        <v>579</v>
      </c>
      <c r="W3" s="15" t="s">
        <v>594</v>
      </c>
      <c r="X3" s="15" t="s">
        <v>573</v>
      </c>
      <c r="Y3" s="15" t="s">
        <v>587</v>
      </c>
      <c r="Z3" s="15" t="s">
        <v>595</v>
      </c>
      <c r="AA3" s="15" t="s">
        <v>516</v>
      </c>
    </row>
    <row r="4" spans="2:27" x14ac:dyDescent="0.3">
      <c r="B4" s="20" t="str" cm="1">
        <f t="array" ref="B4:B7">_xlfn._xlws.FILTER(_xlfn.XLOOKUP(B$3,'Trades Inputs'!$C$1:$BN$1,'Trades Inputs'!$C2:$BN25),ISNUMBER(SEARCH("FX",'Trades Inputs'!$BB2:$BB25)))</f>
        <v>TRD-2026-006</v>
      </c>
      <c r="C4" s="20" t="str" cm="1">
        <f t="array" ref="C4:C7">_xlfn._xlws.FILTER(_xlfn.XLOOKUP(C$3,'Trades Inputs'!$C$1:$BN$1,'Trades Inputs'!$C2:$BN25),ISNUMBER(SEARCH("FX",'Trades Inputs'!$BB2:$BB25)))</f>
        <v>FX Forward</v>
      </c>
      <c r="D4" s="20" t="str" cm="1">
        <f t="array" ref="D4:D7">_xlfn._xlws.FILTER(_xlfn.XLOOKUP(D$3,'Trades Inputs'!$C$1:$BN$1,'Trades Inputs'!$C2:$BN25),ISNUMBER(SEARCH("FX",'Trades Inputs'!$BB2:$BB25)))</f>
        <v>Buy EUR / Sell USD</v>
      </c>
      <c r="E4" s="20" t="str" cm="1">
        <f t="array" ref="E4:E7">_xlfn._xlws.FILTER(_xlfn.XLOOKUP(E$3,'Trades Inputs'!$C$1:$BN$1,'Trades Inputs'!$C2:$BN25),ISNUMBER(SEARCH("FX",'Trades Inputs'!$BB2:$BB25)))</f>
        <v>EUR/USD</v>
      </c>
      <c r="F4" s="20" t="str" cm="1">
        <f t="array" ref="F4:F7">_xlfn._xlws.FILTER(_xlfn.XLOOKUP(F$3,'Trades Inputs'!$C$1:$BN$1,'Trades Inputs'!$C2:$BN25),ISNUMBER(SEARCH("FX",'Trades Inputs'!$BB2:$BB25)))</f>
        <v>28-Aug-2026</v>
      </c>
      <c r="G4" s="20" t="str" cm="1">
        <f t="array" ref="G4:G7">_xlfn._xlws.FILTER(_xlfn.XLOOKUP(G$3,'Trades Inputs'!$C$1:$BN$1,'Trades Inputs'!$C2:$BN25),ISNUMBER(SEARCH("FX",'Trades Inputs'!$BB2:$BB25)))</f>
        <v>28-Aug-2027</v>
      </c>
      <c r="H4" s="20" cm="1">
        <f t="array" ref="H4:H7">_xlfn._xlws.FILTER(_xlfn.XLOOKUP(H$3,'Trades Inputs'!$C$1:$BN$1,'Trades Inputs'!$C2:$BN25),ISNUMBER(SEARCH("FX",'Trades Inputs'!$BB2:$BB25)))</f>
        <v>15000000</v>
      </c>
      <c r="I4" s="20" t="str" cm="1">
        <f t="array" ref="I4:I7">_xlfn._xlws.FILTER(_xlfn.XLOOKUP(I$3,'Trades Inputs'!$C$1:$BN$1,'Trades Inputs'!$C2:$BN25),ISNUMBER(SEARCH("FX",'Trades Inputs'!$BB2:$BB25)))</f>
        <v xml:space="preserve">    - </v>
      </c>
      <c r="J4" s="20" t="str" cm="1">
        <f t="array" ref="J4:J7">_xlfn._xlws.FILTER(_xlfn.XLOOKUP(J$3,'Trades Inputs'!$C$1:$BN$1,'Trades Inputs'!$C2:$BN25),ISNUMBER(SEARCH("FX",'Trades Inputs'!$BB2:$BB25)))</f>
        <v xml:space="preserve">    - </v>
      </c>
      <c r="K4" s="20" t="str" cm="1">
        <f t="array" ref="K4:K7">_xlfn._xlws.FILTER(_xlfn.XLOOKUP(K$3,'Trades Inputs'!$C$1:$BN$1,'Trades Inputs'!$C2:$BN25),ISNUMBER(SEARCH("FX",'Trades Inputs'!$BB2:$BB25)))</f>
        <v xml:space="preserve">    - </v>
      </c>
      <c r="L4" s="20" t="str" cm="1">
        <f t="array" ref="L4:L7">_xlfn._xlws.FILTER(_xlfn.XLOOKUP(L$3,'Trades Inputs'!$C$1:$BN$1,'Trades Inputs'!$C2:$BN25),ISNUMBER(SEARCH("FX",'Trades Inputs'!$BB2:$BB25)))</f>
        <v xml:space="preserve">    - </v>
      </c>
      <c r="M4" s="20" t="str" cm="1">
        <f t="array" ref="M4:M7">_xlfn._xlws.FILTER(_xlfn.XLOOKUP(M$3,'Trades Inputs'!$C$1:$BN$1,'Trades Inputs'!$C2:$BN25),ISNUMBER(SEARCH("FX",'Trades Inputs'!$BB2:$BB25)))</f>
        <v>USD</v>
      </c>
      <c r="N4" s="20" t="str" cm="1">
        <f t="array" ref="N4:N7">_xlfn._xlws.FILTER(_xlfn.XLOOKUP(N$3,'Trades Inputs'!$C$1:$BN$1,'Trades Inputs'!$C2:$BN25),ISNUMBER(SEARCH("FX",'Trades Inputs'!$BB2:$BB25)))</f>
        <v>FX Delta - EUR/USD</v>
      </c>
      <c r="O4" s="20" t="str" cm="1">
        <f t="array" ref="O4:O7">_xlfn._xlws.FILTER(_xlfn.XLOOKUP(O$3,'Trades Inputs'!$C$1:$BN$1,'Trades Inputs'!$C2:$BN25),ISNUMBER(SEARCH("FX",'Trades Inputs'!$BB2:$BB25)))</f>
        <v>FX (single bucket, G10)</v>
      </c>
      <c r="P4" s="20" t="e" cm="1">
        <f t="array" ref="P4">_xlfn._xlws.FILTER(_xlfn.XLOOKUP(P$3,'Trades Inputs'!$C$1:$BN$1,'Trades Inputs'!$C2:$BN25),ISNUMBER(SEARCH("FX",'Trades Inputs'!$BB2:$BB25)))</f>
        <v>#N/A</v>
      </c>
      <c r="Q4" s="20" t="e" cm="1">
        <f t="array" ref="Q4">_xlfn._xlws.FILTER(_xlfn.XLOOKUP(Q$3,'Trades Inputs'!$C$1:$BN$1,'Trades Inputs'!$C2:$BN25),ISNUMBER(SEARCH("FX",'Trades Inputs'!$BB2:$BB25)))</f>
        <v>#N/A</v>
      </c>
      <c r="R4" s="20" t="e" cm="1">
        <f t="array" ref="R4">_xlfn._xlws.FILTER(_xlfn.XLOOKUP(R$3,'Trades Inputs'!$C$1:$BN$1,'Trades Inputs'!$C2:$BN25),ISNUMBER(SEARCH("FX",'Trades Inputs'!$BB2:$BB25)))</f>
        <v>#N/A</v>
      </c>
      <c r="S4" s="20" t="e" cm="1">
        <f t="array" ref="S4">_xlfn._xlws.FILTER(_xlfn.XLOOKUP(S$3,'Trades Inputs'!$C$1:$BN$1,'Trades Inputs'!$C2:$BN25),ISNUMBER(SEARCH("FX",'Trades Inputs'!$BB2:$BB25)))</f>
        <v>#N/A</v>
      </c>
      <c r="T4" s="20" t="e" cm="1">
        <f t="array" ref="T4">_xlfn._xlws.FILTER(_xlfn.XLOOKUP(T$3,'Trades Inputs'!$C$1:$BN$1,'Trades Inputs'!$C2:$BN25),ISNUMBER(SEARCH("FX",'Trades Inputs'!$BB2:$BB25)))</f>
        <v>#N/A</v>
      </c>
      <c r="U4" s="20" t="e" cm="1">
        <f t="array" ref="U4">_xlfn._xlws.FILTER(_xlfn.XLOOKUP(U$3,'Trades Inputs'!$C$1:$BN$1,'Trades Inputs'!$C2:$BN25),ISNUMBER(SEARCH("FX",'Trades Inputs'!$BB2:$BB25)))</f>
        <v>#N/A</v>
      </c>
      <c r="V4" s="20" t="e" cm="1">
        <f t="array" ref="V4">_xlfn._xlws.FILTER(_xlfn.XLOOKUP(V$3,'Trades Inputs'!$C$1:$BN$1,'Trades Inputs'!$C2:$BN25),ISNUMBER(SEARCH("FX",'Trades Inputs'!$BB2:$BB25)))</f>
        <v>#N/A</v>
      </c>
      <c r="W4" s="20" t="e" cm="1">
        <f t="array" ref="W4">_xlfn._xlws.FILTER(_xlfn.XLOOKUP(W$3,'Trades Inputs'!$C$1:$BN$1,'Trades Inputs'!$C2:$BN25),ISNUMBER(SEARCH("FX",'Trades Inputs'!$BB2:$BB25)))</f>
        <v>#N/A</v>
      </c>
      <c r="X4" s="20" t="e" cm="1">
        <f t="array" ref="X4">_xlfn._xlws.FILTER(_xlfn.XLOOKUP(X$3,'Trades Inputs'!$C$1:$BN$1,'Trades Inputs'!$C2:$BN25),ISNUMBER(SEARCH("FX",'Trades Inputs'!$BB2:$BB25)))</f>
        <v>#N/A</v>
      </c>
      <c r="Y4" s="20" t="e" cm="1">
        <f t="array" ref="Y4">_xlfn._xlws.FILTER(_xlfn.XLOOKUP(Y$3,'Trades Inputs'!$C$1:$BN$1,'Trades Inputs'!$C2:$BN25),ISNUMBER(SEARCH("FX",'Trades Inputs'!$BB2:$BB25)))</f>
        <v>#N/A</v>
      </c>
      <c r="Z4" s="20" t="e" cm="1">
        <f t="array" ref="Z4">_xlfn._xlws.FILTER(_xlfn.XLOOKUP(Z$3,'Trades Inputs'!$C$1:$BN$1,'Trades Inputs'!$C2:$BN25),ISNUMBER(SEARCH("FX",'Trades Inputs'!$BB2:$BB25)))</f>
        <v>#N/A</v>
      </c>
      <c r="AA4" s="20"/>
    </row>
    <row r="5" spans="2:27" x14ac:dyDescent="0.3">
      <c r="B5" s="20" t="str">
        <v>TRD-2026-007</v>
      </c>
      <c r="C5" s="20" t="str">
        <v>FX Option (Vanilla Call)</v>
      </c>
      <c r="D5" s="20" t="str">
        <v>Long (Buyer - right to buy EUR)</v>
      </c>
      <c r="E5" s="20" t="str">
        <v>EUR/USD</v>
      </c>
      <c r="F5" s="20" t="str">
        <v>28-Aug-2026</v>
      </c>
      <c r="G5" s="20" t="str">
        <v>28-Feb-2027</v>
      </c>
      <c r="H5" s="20">
        <v>10000000</v>
      </c>
      <c r="I5" s="20">
        <v>1.18</v>
      </c>
      <c r="J5" s="20" t="str">
        <v>Vanilla FX Option</v>
      </c>
      <c r="K5" s="20" t="str">
        <v>European [assumed]</v>
      </c>
      <c r="L5" s="20" t="str">
        <v>~7.5% (est., EUR/USD implied vol) [assumed]</v>
      </c>
      <c r="M5" s="20" t="str">
        <v>USD</v>
      </c>
      <c r="N5" s="20" t="str">
        <v>FX Delta &amp; Vega - EUR/USD</v>
      </c>
      <c r="O5" s="20" t="str">
        <v>FX (single bucket, G10)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2:27" x14ac:dyDescent="0.3">
      <c r="B6" s="20" t="str">
        <v>TRD-2026-008</v>
      </c>
      <c r="C6" s="20" t="str">
        <v>FX Option (Vanilla Put)</v>
      </c>
      <c r="D6" s="20" t="str">
        <v>Long (Buyer - right to sell USD)</v>
      </c>
      <c r="E6" s="20" t="str">
        <v>USD/JPY</v>
      </c>
      <c r="F6" s="20" t="str">
        <v>28-Aug-2026</v>
      </c>
      <c r="G6" s="20" t="str">
        <v>28-Aug-2027</v>
      </c>
      <c r="H6" s="20">
        <v>8000000</v>
      </c>
      <c r="I6" s="20">
        <v>145</v>
      </c>
      <c r="J6" s="20" t="str">
        <v>Vanilla FX Option</v>
      </c>
      <c r="K6" s="20" t="str">
        <v>European [assumed]</v>
      </c>
      <c r="L6" s="20" t="str">
        <v>~9.0% (est., USD/JPY implied vol) [assumed]</v>
      </c>
      <c r="M6" s="20" t="str">
        <v>USD</v>
      </c>
      <c r="N6" s="20" t="str">
        <v>FX Delta &amp; Vega - USD/JPY</v>
      </c>
      <c r="O6" s="20" t="str">
        <v>FX (single bucket, G10)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2:27" x14ac:dyDescent="0.3">
      <c r="B7" s="20" t="str">
        <v>TRD-2026-010</v>
      </c>
      <c r="C7" s="20" t="str">
        <v>FX Swap (Spot-Forward)</v>
      </c>
      <c r="D7" s="20" t="str">
        <v>Buy/Sell EUR vs USD near leg, reverse far leg</v>
      </c>
      <c r="E7" s="20" t="str">
        <v>EUR/USD</v>
      </c>
      <c r="F7" s="20" t="str">
        <v>28-Aug-2026</v>
      </c>
      <c r="G7" s="20" t="str">
        <v>28-Feb-2027</v>
      </c>
      <c r="H7" s="20" t="str">
        <v>EUR 20,000,000</v>
      </c>
      <c r="I7" s="20" t="str">
        <v xml:space="preserve">    - </v>
      </c>
      <c r="J7" s="20" t="str">
        <v xml:space="preserve">    - </v>
      </c>
      <c r="K7" s="20" t="str">
        <v xml:space="preserve">    - </v>
      </c>
      <c r="L7" s="20" t="str">
        <v xml:space="preserve">    - </v>
      </c>
      <c r="M7" s="20" t="str">
        <v>USD</v>
      </c>
      <c r="N7" s="20" t="str">
        <v>FX Delta - EUR/USD</v>
      </c>
      <c r="O7" s="20" t="str">
        <v>FX (single bucket, G10)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A90B-A81C-4422-9AE3-85DBE1531D0E}">
  <sheetPr>
    <tabColor rgb="FF92D050"/>
  </sheetPr>
  <dimension ref="B3:AA8"/>
  <sheetViews>
    <sheetView showGridLines="0" workbookViewId="0">
      <selection activeCell="B3" sqref="B3:AA8"/>
    </sheetView>
  </sheetViews>
  <sheetFormatPr defaultRowHeight="14.4" x14ac:dyDescent="0.3"/>
  <cols>
    <col min="2" max="4" width="15.77734375" customWidth="1"/>
    <col min="5" max="5" width="19.109375" bestFit="1" customWidth="1"/>
    <col min="6" max="17" width="15.77734375" customWidth="1"/>
    <col min="18" max="18" width="21.5546875" bestFit="1" customWidth="1"/>
    <col min="19" max="19" width="16.6640625" bestFit="1" customWidth="1"/>
    <col min="20" max="20" width="28.21875" bestFit="1" customWidth="1"/>
    <col min="21" max="21" width="23.44140625" bestFit="1" customWidth="1"/>
    <col min="22" max="27" width="15.77734375" customWidth="1"/>
  </cols>
  <sheetData>
    <row r="3" spans="2:27" ht="14.4" customHeight="1" x14ac:dyDescent="0.3">
      <c r="B3" s="15" t="s">
        <v>100</v>
      </c>
      <c r="C3" s="15" t="s">
        <v>101</v>
      </c>
      <c r="D3" s="15" t="s">
        <v>102</v>
      </c>
      <c r="E3" s="15" t="s">
        <v>103</v>
      </c>
      <c r="F3" s="15" t="s">
        <v>509</v>
      </c>
      <c r="G3" s="15" t="s">
        <v>104</v>
      </c>
      <c r="H3" s="15" t="s">
        <v>2</v>
      </c>
      <c r="I3" s="15" t="s">
        <v>110</v>
      </c>
      <c r="J3" s="15" t="s">
        <v>617</v>
      </c>
      <c r="K3" s="15" t="s">
        <v>618</v>
      </c>
      <c r="L3" s="15" t="s">
        <v>510</v>
      </c>
      <c r="M3" s="15" t="s">
        <v>148</v>
      </c>
      <c r="N3" s="15" t="s">
        <v>113</v>
      </c>
      <c r="O3" s="15" t="s">
        <v>135</v>
      </c>
      <c r="P3" s="15" t="s">
        <v>136</v>
      </c>
      <c r="Q3" s="15" t="s">
        <v>138</v>
      </c>
      <c r="R3" s="15" t="s">
        <v>129</v>
      </c>
      <c r="S3" s="15" t="s">
        <v>515</v>
      </c>
      <c r="T3" s="15" t="s">
        <v>141</v>
      </c>
      <c r="U3" s="15" t="s">
        <v>140</v>
      </c>
      <c r="V3" s="15" t="s">
        <v>511</v>
      </c>
      <c r="W3" s="15" t="s">
        <v>579</v>
      </c>
      <c r="X3" s="15" t="s">
        <v>513</v>
      </c>
      <c r="Y3" s="15" t="s">
        <v>573</v>
      </c>
      <c r="Z3" s="15" t="s">
        <v>587</v>
      </c>
      <c r="AA3" s="15" t="s">
        <v>604</v>
      </c>
    </row>
    <row r="4" spans="2:27" x14ac:dyDescent="0.3">
      <c r="B4" s="20" t="str" cm="1">
        <f t="array" ref="B4:B8">_xlfn._xlws.FILTER(_xlfn.XLOOKUP(B$3,'Trades Inputs'!$C$1:$BN$1,'Trades Inputs'!$C2:$BN25),ISNUMBER(SEARCH("Commodity",'Trades Inputs'!$BB2:$BB25)))</f>
        <v>TRD-2026-011</v>
      </c>
      <c r="C4" s="20" t="str" cm="1">
        <f t="array" ref="C4:C8">_xlfn._xlws.FILTER(_xlfn.XLOOKUP(C$3,'Trades Inputs'!$C$1:$BN$1,'Trades Inputs'!$C2:$BN25),ISNUMBER(SEARCH("Commodity",'Trades Inputs'!$BB2:$BB25)))</f>
        <v>Commodity Forward (Brent Crude Oil)</v>
      </c>
      <c r="D4" s="20" t="str" cm="1">
        <f t="array" ref="D4:D8">_xlfn._xlws.FILTER(_xlfn.XLOOKUP(D$3,'Trades Inputs'!$C$1:$BN$1,'Trades Inputs'!$C2:$BN25),ISNUMBER(SEARCH("Commodity",'Trades Inputs'!$BB2:$BB25)))</f>
        <v>Long (Buyer)</v>
      </c>
      <c r="E4" s="20" t="str" cm="1">
        <f t="array" ref="E4:E8">_xlfn._xlws.FILTER(_xlfn.XLOOKUP(E$3,'Trades Inputs'!$C$1:$BN$1,'Trades Inputs'!$C2:$BN25),ISNUMBER(SEARCH("Commodity",'Trades Inputs'!$BB2:$BB25)))</f>
        <v>Brent Crude Oil</v>
      </c>
      <c r="F4" s="20" t="str" cm="1">
        <f t="array" ref="F4:F8">_xlfn._xlws.FILTER(_xlfn.XLOOKUP(F$3,'Trades Inputs'!$C$1:$BN$1,'Trades Inputs'!$C2:$BN25),ISNUMBER(SEARCH("Commodity",'Trades Inputs'!$BB2:$BB25)))</f>
        <v>28-Aug-2026</v>
      </c>
      <c r="G4" s="20" t="str" cm="1">
        <f t="array" ref="G4:G8">_xlfn._xlws.FILTER(_xlfn.XLOOKUP(G$3,'Trades Inputs'!$C$1:$BN$1,'Trades Inputs'!$C2:$BN25),ISNUMBER(SEARCH("Commodity",'Trades Inputs'!$BB2:$BB25)))</f>
        <v>28-Aug-2027</v>
      </c>
      <c r="H4" s="20" t="str" cm="1">
        <f t="array" ref="H4:H8">_xlfn._xlws.FILTER(_xlfn.XLOOKUP(H$3,'Trades Inputs'!$C$1:$BN$1,'Trades Inputs'!$C2:$BN25),ISNUMBER(SEARCH("Commodity",'Trades Inputs'!$BB2:$BB25)))</f>
        <v>USD</v>
      </c>
      <c r="I4" s="20" t="str" cm="1">
        <f t="array" ref="I4:I8">_xlfn._xlws.FILTER(_xlfn.XLOOKUP(I$3,'Trades Inputs'!$C$1:$BN$1,'Trades Inputs'!$C2:$BN25),ISNUMBER(SEARCH("Commodity",'Trades Inputs'!$BB2:$BB25)))</f>
        <v>$12,000,000</v>
      </c>
      <c r="J4" s="20" t="str" cm="1">
        <f t="array" ref="J4:J8">_xlfn._xlws.FILTER(_xlfn.XLOOKUP(J$3,'Trades Inputs'!$C$1:$BN$1,'Trades Inputs'!$C2:$BN25),ISNUMBER(SEARCH("Commodity",'Trades Inputs'!$BB2:$BB25)))</f>
        <v>Barrels (bbl)</v>
      </c>
      <c r="K4" s="20" cm="1">
        <f t="array" ref="K4:K8">_xlfn._xlws.FILTER(_xlfn.XLOOKUP(K$3,'Trades Inputs'!$C$1:$BN$1,'Trades Inputs'!$C2:$BN25),ISNUMBER(SEARCH("Commodity",'Trades Inputs'!$BB2:$BB25)))</f>
        <v>153846</v>
      </c>
      <c r="L4" s="20" t="str" cm="1">
        <f t="array" ref="L4:L8">_xlfn._xlws.FILTER(_xlfn.XLOOKUP(L$3,'Trades Inputs'!$C$1:$BN$1,'Trades Inputs'!$C2:$BN25),ISNUMBER(SEARCH("Commodity",'Trades Inputs'!$BB2:$BB25)))</f>
        <v>$70/barrel</v>
      </c>
      <c r="M4" s="20" t="str" cm="1">
        <f t="array" ref="M4:M8">_xlfn._xlws.FILTER(_xlfn.XLOOKUP(M$3,'Trades Inputs'!$C$1:$BN$1,'Trades Inputs'!$C2:$BN25),ISNUMBER(SEARCH("Commodity",'Trades Inputs'!$BB2:$BB25)))</f>
        <v>$78/barrel</v>
      </c>
      <c r="N4" s="20" t="str" cm="1">
        <f t="array" ref="N4:N8">_xlfn._xlws.FILTER(_xlfn.XLOOKUP(N$3,'Trades Inputs'!$C$1:$BN$1,'Trades Inputs'!$C2:$BN25),ISNUMBER(SEARCH("Commodity",'Trades Inputs'!$BB2:$BB25)))</f>
        <v xml:space="preserve">    - </v>
      </c>
      <c r="O4" s="20" t="str" cm="1">
        <f t="array" ref="O4:O8">_xlfn._xlws.FILTER(_xlfn.XLOOKUP(O$3,'Trades Inputs'!$C$1:$BN$1,'Trades Inputs'!$C2:$BN25),ISNUMBER(SEARCH("Commodity",'Trades Inputs'!$BB2:$BB25)))</f>
        <v xml:space="preserve">    - </v>
      </c>
      <c r="P4" s="20" t="str" cm="1">
        <f t="array" ref="P4:P8">_xlfn._xlws.FILTER(_xlfn.XLOOKUP(P$3,'Trades Inputs'!$C$1:$BN$1,'Trades Inputs'!$C2:$BN25),ISNUMBER(SEARCH("Commodity",'Trades Inputs'!$BB2:$BB25)))</f>
        <v xml:space="preserve">    - </v>
      </c>
      <c r="Q4" s="20" t="str" cm="1">
        <f t="array" ref="Q4:Q8">_xlfn._xlws.FILTER(_xlfn.XLOOKUP(Q$3,'Trades Inputs'!$C$1:$BN$1,'Trades Inputs'!$C2:$BN25),ISNUMBER(SEARCH("Commodity",'Trades Inputs'!$BB2:$BB25)))</f>
        <v xml:space="preserve">    - </v>
      </c>
      <c r="R4" s="20" t="str" cm="1">
        <f t="array" ref="R4:R8">_xlfn._xlws.FILTER(_xlfn.XLOOKUP(R$3,'Trades Inputs'!$C$1:$BN$1,'Trades Inputs'!$C2:$BN25),ISNUMBER(SEARCH("Commodity",'Trades Inputs'!$BB2:$BB25)))</f>
        <v>Bucket: Energy - Oil</v>
      </c>
      <c r="S4" s="20" t="str" cm="1">
        <f t="array" ref="S4:S8">_xlfn._xlws.FILTER(_xlfn.XLOOKUP(S$3,'Trades Inputs'!$C$1:$BN$1,'Trades Inputs'!$C2:$BN25),ISNUMBER(SEARCH("Commodity",'Trades Inputs'!$BB2:$BB25)))</f>
        <v>USD</v>
      </c>
      <c r="T4" s="20" t="str" cm="1">
        <f t="array" ref="T4:T8">_xlfn._xlws.FILTER(_xlfn.XLOOKUP(T$3,'Trades Inputs'!$C$1:$BN$1,'Trades Inputs'!$C2:$BN25),ISNUMBER(SEARCH("Commodity",'Trades Inputs'!$BB2:$BB25)))</f>
        <v>Commodity Delta - Brent Crude</v>
      </c>
      <c r="U4" s="20" t="str" cm="1">
        <f t="array" ref="U4:U8">_xlfn._xlws.FILTER(_xlfn.XLOOKUP(U$3,'Trades Inputs'!$C$1:$BN$1,'Trades Inputs'!$C2:$BN25),ISNUMBER(SEARCH("Commodity",'Trades Inputs'!$BB2:$BB25)))</f>
        <v>Bucket 6 (Energy - Oil/Gas)</v>
      </c>
      <c r="V4" s="20" t="e" cm="1">
        <f t="array" ref="V4">_xlfn._xlws.FILTER(_xlfn.XLOOKUP(V$3,'Trades Inputs'!$C$1:$BN$1,'Trades Inputs'!$C2:$BN25),ISNUMBER(SEARCH("Commodity",'Trades Inputs'!$BB2:$BB25)))</f>
        <v>#N/A</v>
      </c>
      <c r="W4" s="20" t="e" cm="1">
        <f t="array" ref="W4">_xlfn._xlws.FILTER(_xlfn.XLOOKUP(W$3,'Trades Inputs'!$C$1:$BN$1,'Trades Inputs'!$C2:$BN25),ISNUMBER(SEARCH("Commodity",'Trades Inputs'!$BB2:$BB25)))</f>
        <v>#N/A</v>
      </c>
      <c r="X4" s="20" t="e" cm="1">
        <f t="array" ref="X4">_xlfn._xlws.FILTER(_xlfn.XLOOKUP(X$3,'Trades Inputs'!$C$1:$BN$1,'Trades Inputs'!$C2:$BN25),ISNUMBER(SEARCH("Commodity",'Trades Inputs'!$BB2:$BB25)))</f>
        <v>#N/A</v>
      </c>
      <c r="Y4" s="20" t="e" cm="1">
        <f t="array" ref="Y4">_xlfn._xlws.FILTER(_xlfn.XLOOKUP(Y$3,'Trades Inputs'!$C$1:$BN$1,'Trades Inputs'!$C2:$BN25),ISNUMBER(SEARCH("Commodity",'Trades Inputs'!$BB2:$BB25)))</f>
        <v>#N/A</v>
      </c>
      <c r="Z4" s="20" t="e" cm="1">
        <f t="array" ref="Z4">_xlfn._xlws.FILTER(_xlfn.XLOOKUP(Z$3,'Trades Inputs'!$C$1:$BN$1,'Trades Inputs'!$C2:$BN25),ISNUMBER(SEARCH("Commodity",'Trades Inputs'!$BB2:$BB25)))</f>
        <v>#N/A</v>
      </c>
      <c r="AA4" s="20" t="e" cm="1">
        <f t="array" ref="AA4">_xlfn._xlws.FILTER(_xlfn.XLOOKUP(AA$3,'Trades Inputs'!$C$1:$BN$1,'Trades Inputs'!$C2:$BN25),ISNUMBER(SEARCH("Commodity",'Trades Inputs'!$BB2:$BB25)))</f>
        <v>#N/A</v>
      </c>
    </row>
    <row r="5" spans="2:27" x14ac:dyDescent="0.3">
      <c r="B5" s="20" t="str">
        <v>TRD-2026-012</v>
      </c>
      <c r="C5" s="20" t="str">
        <v>Commodity Future (WTI Crude Oil)</v>
      </c>
      <c r="D5" s="20" t="str">
        <v>Long (Buyer)</v>
      </c>
      <c r="E5" s="20" t="str">
        <v>WTI Crude Oil</v>
      </c>
      <c r="F5" s="20" t="str">
        <v>28-Aug-2026</v>
      </c>
      <c r="G5" s="20" t="str">
        <v>20-Nov-2026</v>
      </c>
      <c r="H5" s="20" t="str">
        <v>USD</v>
      </c>
      <c r="I5" s="20" t="str">
        <v>$12,000,000</v>
      </c>
      <c r="J5" s="20" t="str">
        <v>Barrels (bbl)</v>
      </c>
      <c r="K5" s="20">
        <v>166667</v>
      </c>
      <c r="L5" s="20" t="str">
        <v>$70/barrel</v>
      </c>
      <c r="M5" s="20" t="str">
        <v>$72/barrel</v>
      </c>
      <c r="N5" s="20" t="str">
        <v xml:space="preserve">    - </v>
      </c>
      <c r="O5" s="20" t="str">
        <v xml:space="preserve">    - </v>
      </c>
      <c r="P5" s="20" t="str">
        <v xml:space="preserve">    - </v>
      </c>
      <c r="Q5" s="20" t="str">
        <v xml:space="preserve">    - </v>
      </c>
      <c r="R5" s="20" t="str">
        <v>Bucket: Energy - Oil</v>
      </c>
      <c r="S5" s="20" t="str">
        <v>USD</v>
      </c>
      <c r="T5" s="20" t="str">
        <v>Commodity Delta - WTI Crude</v>
      </c>
      <c r="U5" s="20" t="str">
        <v>Bucket 6 (Energy - Oil/Gas)</v>
      </c>
      <c r="V5" s="20"/>
      <c r="W5" s="20"/>
      <c r="X5" s="20"/>
      <c r="Y5" s="20"/>
      <c r="Z5" s="20"/>
      <c r="AA5" s="20"/>
    </row>
    <row r="6" spans="2:27" x14ac:dyDescent="0.3">
      <c r="B6" s="20" t="str">
        <v>TRD-2026-013</v>
      </c>
      <c r="C6" s="20" t="str">
        <v>Commodity Option (Vanilla Call - Gold)</v>
      </c>
      <c r="D6" s="20" t="str">
        <v>Long (Buyer)</v>
      </c>
      <c r="E6" s="20" t="str">
        <v>Gold</v>
      </c>
      <c r="F6" s="20" t="str">
        <v>28-Aug-2026</v>
      </c>
      <c r="G6" s="20" t="str">
        <v>28-Feb-2027</v>
      </c>
      <c r="H6" s="20" t="str">
        <v>USD</v>
      </c>
      <c r="I6" s="20" t="str">
        <v>$7,000,000</v>
      </c>
      <c r="J6" s="20" t="str">
        <v>Troy Ounces (oz)</v>
      </c>
      <c r="K6" s="20">
        <v>2000</v>
      </c>
      <c r="L6" s="20" t="str">
        <v>$3,400/oz</v>
      </c>
      <c r="M6" s="20" t="str">
        <v xml:space="preserve">    - </v>
      </c>
      <c r="N6" s="20" t="str">
        <v>$3,500/oz</v>
      </c>
      <c r="O6" s="20" t="str">
        <v>Vanilla Commodity Option</v>
      </c>
      <c r="P6" s="20" t="str">
        <v>European [assumed]</v>
      </c>
      <c r="Q6" s="20" t="str">
        <v>~16% (est., gold implied vol) [assumed]</v>
      </c>
      <c r="R6" s="20" t="str">
        <v>Bucket: Metals - Precious</v>
      </c>
      <c r="S6" s="20" t="str">
        <v>USD</v>
      </c>
      <c r="T6" s="20" t="str">
        <v>Commodity Delta &amp; Vega - Gold</v>
      </c>
      <c r="U6" s="20" t="str">
        <v>Bucket 7 (Metals - Precious)</v>
      </c>
      <c r="V6" s="20"/>
      <c r="W6" s="20"/>
      <c r="X6" s="20"/>
      <c r="Y6" s="20"/>
      <c r="Z6" s="20"/>
      <c r="AA6" s="20"/>
    </row>
    <row r="7" spans="2:27" x14ac:dyDescent="0.3">
      <c r="B7" s="20" t="str">
        <v>TRD-2026-014</v>
      </c>
      <c r="C7" s="20" t="str">
        <v>Commodity Option (Vanilla Put - Copper)</v>
      </c>
      <c r="D7" s="20" t="str">
        <v>Long (Buyer)</v>
      </c>
      <c r="E7" s="20" t="str">
        <v>Copper</v>
      </c>
      <c r="F7" s="20" t="str">
        <v>28-Aug-2026</v>
      </c>
      <c r="G7" s="20" t="str">
        <v>28-Aug-2027</v>
      </c>
      <c r="H7" s="20" t="str">
        <v>USD</v>
      </c>
      <c r="I7" s="20" t="str">
        <v>$6,000,000</v>
      </c>
      <c r="J7" s="20" t="str">
        <v>Pounds (lb)</v>
      </c>
      <c r="K7" s="20">
        <v>1200000</v>
      </c>
      <c r="L7" s="20" t="str">
        <v>$4.74/lb [as per source sheet: $74/lb - likely a typo, flagged]</v>
      </c>
      <c r="M7" s="20" t="str">
        <v xml:space="preserve">    - </v>
      </c>
      <c r="N7" s="20" t="str">
        <v>$5.00/lb</v>
      </c>
      <c r="O7" s="20" t="str">
        <v>Vanilla Commodity Option</v>
      </c>
      <c r="P7" s="20" t="str">
        <v>European [assumed]</v>
      </c>
      <c r="Q7" s="20" t="str">
        <v>~22% (est., copper implied vol) [assumed]</v>
      </c>
      <c r="R7" s="20" t="str">
        <v>Bucket: Metals - Base</v>
      </c>
      <c r="S7" s="20" t="str">
        <v>USD</v>
      </c>
      <c r="T7" s="20" t="str">
        <v>Commodity Delta &amp; Vega - Copper</v>
      </c>
      <c r="U7" s="20" t="str">
        <v>Bucket 8 (Metals - Base)</v>
      </c>
      <c r="V7" s="20"/>
      <c r="W7" s="20"/>
      <c r="X7" s="20"/>
      <c r="Y7" s="20"/>
      <c r="Z7" s="20"/>
      <c r="AA7" s="20"/>
    </row>
    <row r="8" spans="2:27" x14ac:dyDescent="0.3">
      <c r="B8" s="20" t="str">
        <v>TRD-2026-015</v>
      </c>
      <c r="C8" s="20" t="str">
        <v>Commodity Swap (Fixed-for-Floating Oil)</v>
      </c>
      <c r="D8" s="20" t="str">
        <v>Pay Fixed / Receive Floating</v>
      </c>
      <c r="E8" s="20" t="str">
        <v>Crude Oil (generic benchmark)</v>
      </c>
      <c r="F8" s="20" t="str">
        <v>28-Aug-2026</v>
      </c>
      <c r="G8" s="20" t="str">
        <v>28-Aug-2028</v>
      </c>
      <c r="H8" s="20" t="str">
        <v>USD</v>
      </c>
      <c r="I8" s="20" t="str">
        <v>$18,000,000</v>
      </c>
      <c r="J8" s="20" t="str">
        <v>Barrels (bbl)</v>
      </c>
      <c r="K8" s="20">
        <v>243243</v>
      </c>
      <c r="L8" s="20" t="str">
        <v>$74/barrel</v>
      </c>
      <c r="M8" s="20" t="str">
        <v xml:space="preserve">    - </v>
      </c>
      <c r="N8" s="20" t="str">
        <v xml:space="preserve">    - </v>
      </c>
      <c r="O8" s="20" t="str">
        <v xml:space="preserve">    - </v>
      </c>
      <c r="P8" s="20" t="str">
        <v xml:space="preserve">    - </v>
      </c>
      <c r="Q8" s="20" t="str">
        <v xml:space="preserve">    - </v>
      </c>
      <c r="R8" s="20" t="str">
        <v>Bucket: Energy - Oil</v>
      </c>
      <c r="S8" s="20" t="str">
        <v>USD</v>
      </c>
      <c r="T8" s="20" t="str">
        <v>Commodity Delta - Oil Swap</v>
      </c>
      <c r="U8" s="20" t="str">
        <v>Bucket 6 (Energy - Oil/Gas)</v>
      </c>
      <c r="V8" s="20"/>
      <c r="W8" s="20"/>
      <c r="X8" s="20"/>
      <c r="Y8" s="20"/>
      <c r="Z8" s="20"/>
      <c r="AA8" s="2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5340-F054-42E1-8E03-21A15C94A94B}">
  <sheetPr>
    <tabColor rgb="FF7030A0"/>
  </sheetPr>
  <dimension ref="B3:AD7"/>
  <sheetViews>
    <sheetView showGridLines="0" workbookViewId="0">
      <selection activeCell="B3" sqref="B3:AD7"/>
    </sheetView>
  </sheetViews>
  <sheetFormatPr defaultRowHeight="14.4" x14ac:dyDescent="0.3"/>
  <cols>
    <col min="2" max="4" width="17.77734375" customWidth="1"/>
    <col min="5" max="5" width="18.6640625" bestFit="1" customWidth="1"/>
    <col min="6" max="30" width="17.77734375" customWidth="1"/>
  </cols>
  <sheetData>
    <row r="3" spans="2:30" x14ac:dyDescent="0.3">
      <c r="B3" s="15" t="s">
        <v>100</v>
      </c>
      <c r="C3" s="15" t="s">
        <v>101</v>
      </c>
      <c r="D3" s="15" t="s">
        <v>102</v>
      </c>
      <c r="E3" s="15" t="s">
        <v>103</v>
      </c>
      <c r="F3" s="15" t="s">
        <v>509</v>
      </c>
      <c r="G3" s="15" t="s">
        <v>104</v>
      </c>
      <c r="H3" s="15" t="s">
        <v>2</v>
      </c>
      <c r="I3" s="15" t="s">
        <v>110</v>
      </c>
      <c r="J3" s="15" t="s">
        <v>605</v>
      </c>
      <c r="K3" s="15" t="s">
        <v>122</v>
      </c>
      <c r="L3" s="15" t="s">
        <v>133</v>
      </c>
      <c r="M3" s="15" t="s">
        <v>607</v>
      </c>
      <c r="N3" s="15" t="s">
        <v>122</v>
      </c>
      <c r="O3" s="15" t="s">
        <v>606</v>
      </c>
      <c r="P3" s="15" t="s">
        <v>133</v>
      </c>
      <c r="Q3" s="15" t="s">
        <v>622</v>
      </c>
      <c r="R3" s="15" t="s">
        <v>608</v>
      </c>
      <c r="S3" s="15" t="s">
        <v>596</v>
      </c>
      <c r="T3" s="15" t="s">
        <v>601</v>
      </c>
      <c r="U3" s="15" t="s">
        <v>132</v>
      </c>
      <c r="V3" s="15" t="s">
        <v>609</v>
      </c>
      <c r="W3" s="15" t="s">
        <v>610</v>
      </c>
      <c r="X3" s="15" t="s">
        <v>573</v>
      </c>
      <c r="Y3" s="15" t="s">
        <v>587</v>
      </c>
      <c r="Z3" s="15" t="s">
        <v>611</v>
      </c>
      <c r="AA3" s="15" t="s">
        <v>515</v>
      </c>
      <c r="AB3" s="15" t="s">
        <v>141</v>
      </c>
      <c r="AC3" s="15" t="s">
        <v>140</v>
      </c>
      <c r="AD3" s="15" t="s">
        <v>516</v>
      </c>
    </row>
    <row r="4" spans="2:30" x14ac:dyDescent="0.3">
      <c r="B4" s="20" t="str" cm="1">
        <f t="array" ref="B4:B7">_xlfn._xlws.FILTER(_xlfn.XLOOKUP(B$3,'Trades Inputs'!$C$1:$BN$1,'Trades Inputs'!$C2:$BN25),ISNUMBER(SEARCH("Credit",'Trades Inputs'!$BB2:$BB25)))</f>
        <v>TRD-2026-021</v>
      </c>
      <c r="C4" s="20" t="str" cm="1">
        <f t="array" ref="C4:C7">_xlfn._xlws.FILTER(_xlfn.XLOOKUP(C$3,'Trades Inputs'!$C$1:$BN$1,'Trades Inputs'!$C2:$BN25),ISNUMBER(SEARCH("Credit",'Trades Inputs'!$BB2:$BB25)))</f>
        <v>Credit Default Swap (Single-Name)</v>
      </c>
      <c r="D4" s="20" t="str" cm="1">
        <f t="array" ref="D4:D7">_xlfn._xlws.FILTER(_xlfn.XLOOKUP(D$3,'Trades Inputs'!$C$1:$BN$1,'Trades Inputs'!$C2:$BN25),ISNUMBER(SEARCH("Credit",'Trades Inputs'!$BB2:$BB25)))</f>
        <v>Protection Buyer</v>
      </c>
      <c r="E4" s="20" t="str" cm="1">
        <f t="array" ref="E4:E7">_xlfn._xlws.FILTER(_xlfn.XLOOKUP(E$3,'Trades Inputs'!$C$1:$BN$1,'Trades Inputs'!$C2:$BN25),ISNUMBER(SEARCH("Credit",'Trades Inputs'!$BB2:$BB25)))</f>
        <v>Single-Name Corporate Borrower [name not specified]</v>
      </c>
      <c r="F4" s="20" t="str" cm="1">
        <f t="array" ref="F4:F7">_xlfn._xlws.FILTER(_xlfn.XLOOKUP(F$3,'Trades Inputs'!$C$1:$BN$1,'Trades Inputs'!$C2:$BN25),ISNUMBER(SEARCH("Credit",'Trades Inputs'!$BB2:$BB25)))</f>
        <v>28-Aug-2026</v>
      </c>
      <c r="G4" s="20" t="str" cm="1">
        <f t="array" ref="G4:G7">_xlfn._xlws.FILTER(_xlfn.XLOOKUP(G$3,'Trades Inputs'!$C$1:$BN$1,'Trades Inputs'!$C2:$BN25),ISNUMBER(SEARCH("Credit",'Trades Inputs'!$BB2:$BB25)))</f>
        <v>28-Aug-2031</v>
      </c>
      <c r="H4" s="20" t="str" cm="1">
        <f t="array" ref="H4:H7">_xlfn._xlws.FILTER(_xlfn.XLOOKUP(H$3,'Trades Inputs'!$C$1:$BN$1,'Trades Inputs'!$C2:$BN25),ISNUMBER(SEARCH("Credit",'Trades Inputs'!$BB2:$BB25)))</f>
        <v>USD</v>
      </c>
      <c r="I4" s="20" t="str" cm="1">
        <f t="array" ref="I4:I7">_xlfn._xlws.FILTER(_xlfn.XLOOKUP(I$3,'Trades Inputs'!$C$1:$BN$1,'Trades Inputs'!$C2:$BN25),ISNUMBER(SEARCH("Credit",'Trades Inputs'!$BB2:$BB25)))</f>
        <v>$10,000,000</v>
      </c>
      <c r="J4" s="20" t="e" cm="1">
        <f t="array" ref="J4">_xlfn._xlws.FILTER(_xlfn.XLOOKUP(J$3,'Trades Inputs'!$C$1:$BN$1,'Trades Inputs'!$C2:$BN25),ISNUMBER(SEARCH("Credit",'Trades Inputs'!$BB2:$BB25)))</f>
        <v>#N/A</v>
      </c>
      <c r="K4" s="20" t="str" cm="1">
        <f t="array" ref="K4:K7">_xlfn._xlws.FILTER(_xlfn.XLOOKUP(K$3,'Trades Inputs'!$C$1:$BN$1,'Trades Inputs'!$C2:$BN25),ISNUMBER(SEARCH("Credit",'Trades Inputs'!$BB2:$BB25)))</f>
        <v>Quarterly [assumed]</v>
      </c>
      <c r="L4" s="20" t="str" cm="1">
        <f t="array" ref="L4:L7">_xlfn._xlws.FILTER(_xlfn.XLOOKUP(L$3,'Trades Inputs'!$C$1:$BN$1,'Trades Inputs'!$C2:$BN25),ISNUMBER(SEARCH("Credit",'Trades Inputs'!$BB2:$BB25)))</f>
        <v>Senior Unsecured [assumed]</v>
      </c>
      <c r="M4" s="20" t="e" cm="1">
        <f t="array" ref="M4">_xlfn._xlws.FILTER(_xlfn.XLOOKUP(M$3,'Trades Inputs'!$C$1:$BN$1,'Trades Inputs'!$C2:$BN25),ISNUMBER(SEARCH("Credit",'Trades Inputs'!$BB2:$BB25)))</f>
        <v>#N/A</v>
      </c>
      <c r="N4" s="20" t="str" cm="1">
        <f t="array" ref="N4:N7">_xlfn._xlws.FILTER(_xlfn.XLOOKUP(N$3,'Trades Inputs'!$C$1:$BN$1,'Trades Inputs'!$C2:$BN25),ISNUMBER(SEARCH("Credit",'Trades Inputs'!$BB2:$BB25)))</f>
        <v>Quarterly [assumed]</v>
      </c>
      <c r="O4" s="20" t="e" cm="1">
        <f t="array" ref="O4">_xlfn._xlws.FILTER(_xlfn.XLOOKUP(O$3,'Trades Inputs'!$C$1:$BN$1,'Trades Inputs'!$C2:$BN25),ISNUMBER(SEARCH("Credit",'Trades Inputs'!$BB2:$BB25)))</f>
        <v>#N/A</v>
      </c>
      <c r="P4" s="20" t="str" cm="1">
        <f t="array" ref="P4:P7">_xlfn._xlws.FILTER(_xlfn.XLOOKUP(P$3,'Trades Inputs'!$C$1:$BN$1,'Trades Inputs'!$C2:$BN25),ISNUMBER(SEARCH("Credit",'Trades Inputs'!$BB2:$BB25)))</f>
        <v>Senior Unsecured [assumed]</v>
      </c>
      <c r="Q4" s="20" t="e" cm="1">
        <f t="array" ref="Q4">_xlfn._xlws.FILTER(_xlfn.XLOOKUP(Q$3,'Trades Inputs'!$C$1:$BN$1,'Trades Inputs'!$C2:$BN25),ISNUMBER(SEARCH("Credit",'Trades Inputs'!$BB2:$BB25)))</f>
        <v>#N/A</v>
      </c>
      <c r="R4" s="20" t="e" cm="1">
        <f t="array" ref="R4">_xlfn._xlws.FILTER(_xlfn.XLOOKUP(R$3,'Trades Inputs'!$C$1:$BN$1,'Trades Inputs'!$C2:$BN25),ISNUMBER(SEARCH("Credit",'Trades Inputs'!$BB2:$BB25)))</f>
        <v>#N/A</v>
      </c>
      <c r="S4" s="20" t="e" cm="1">
        <f t="array" ref="S4">_xlfn._xlws.FILTER(_xlfn.XLOOKUP(S$3,'Trades Inputs'!$C$1:$BN$1,'Trades Inputs'!$C2:$BN25),ISNUMBER(SEARCH("Credit",'Trades Inputs'!$BB2:$BB25)))</f>
        <v>#N/A</v>
      </c>
      <c r="T4" s="20" t="e" cm="1">
        <f t="array" ref="T4">_xlfn._xlws.FILTER(_xlfn.XLOOKUP(T$3,'Trades Inputs'!$C$1:$BN$1,'Trades Inputs'!$C2:$BN25),ISNUMBER(SEARCH("Credit",'Trades Inputs'!$BB2:$BB25)))</f>
        <v>#N/A</v>
      </c>
      <c r="U4" s="20" t="str" cm="1">
        <f t="array" ref="U4:U7">_xlfn._xlws.FILTER(_xlfn.XLOOKUP(U$3,'Trades Inputs'!$C$1:$BN$1,'Trades Inputs'!$C2:$BN25),ISNUMBER(SEARCH("Credit",'Trades Inputs'!$BB2:$BB25)))</f>
        <v>Corporate - Investment Grade [assumed]</v>
      </c>
      <c r="V4" s="20" t="e" cm="1">
        <f t="array" ref="V4">_xlfn._xlws.FILTER(_xlfn.XLOOKUP(V$3,'Trades Inputs'!$C$1:$BN$1,'Trades Inputs'!$C2:$BN25),ISNUMBER(SEARCH("Credit",'Trades Inputs'!$BB2:$BB25)))</f>
        <v>#N/A</v>
      </c>
      <c r="W4" s="20" t="e" cm="1">
        <f t="array" ref="W4">_xlfn._xlws.FILTER(_xlfn.XLOOKUP(W$3,'Trades Inputs'!$C$1:$BN$1,'Trades Inputs'!$C2:$BN25),ISNUMBER(SEARCH("Credit",'Trades Inputs'!$BB2:$BB25)))</f>
        <v>#N/A</v>
      </c>
      <c r="X4" s="20" t="e" cm="1">
        <f t="array" ref="X4">_xlfn._xlws.FILTER(_xlfn.XLOOKUP(X$3,'Trades Inputs'!$C$1:$BN$1,'Trades Inputs'!$C2:$BN25),ISNUMBER(SEARCH("Credit",'Trades Inputs'!$BB2:$BB25)))</f>
        <v>#N/A</v>
      </c>
      <c r="Y4" s="20" t="e" cm="1">
        <f t="array" ref="Y4">_xlfn._xlws.FILTER(_xlfn.XLOOKUP(Y$3,'Trades Inputs'!$C$1:$BN$1,'Trades Inputs'!$C2:$BN25),ISNUMBER(SEARCH("Credit",'Trades Inputs'!$BB2:$BB25)))</f>
        <v>#N/A</v>
      </c>
      <c r="Z4" s="20" t="e" cm="1">
        <f t="array" ref="Z4">_xlfn._xlws.FILTER(_xlfn.XLOOKUP(Z$3,'Trades Inputs'!$C$1:$BN$1,'Trades Inputs'!$C2:$BN25),ISNUMBER(SEARCH("Credit",'Trades Inputs'!$BB2:$BB25)))</f>
        <v>#N/A</v>
      </c>
      <c r="AA4" s="20" t="str" cm="1">
        <f t="array" ref="AA4:AA7">_xlfn._xlws.FILTER(_xlfn.XLOOKUP(AA$3,'Trades Inputs'!$C$1:$BN$1,'Trades Inputs'!$C2:$BN25),ISNUMBER(SEARCH("Credit",'Trades Inputs'!$BB2:$BB25)))</f>
        <v>USD</v>
      </c>
      <c r="AB4" s="20" t="str" cm="1">
        <f t="array" ref="AB4:AB7">_xlfn._xlws.FILTER(_xlfn.XLOOKUP(AB$3,'Trades Inputs'!$C$1:$BN$1,'Trades Inputs'!$C2:$BN25),ISNUMBER(SEARCH("Credit",'Trades Inputs'!$BB2:$BB25)))</f>
        <v>Credit Delta - Single-Name CDS Spread</v>
      </c>
      <c r="AC4" s="20" t="str" cm="1">
        <f t="array" ref="AC4:AC7">_xlfn._xlws.FILTER(_xlfn.XLOOKUP(AC$3,'Trades Inputs'!$C$1:$BN$1,'Trades Inputs'!$C2:$BN25),ISNUMBER(SEARCH("Credit",'Trades Inputs'!$BB2:$BB25)))</f>
        <v>Bucket 4-7 (Corporate, IG, by sector) [assumed]</v>
      </c>
      <c r="AD4" s="20" t="e" cm="1">
        <f t="array" ref="AD4">_xlfn._xlws.FILTER(_xlfn.XLOOKUP(AD$3,'Trades Inputs'!$C$1:$BN$1,'Trades Inputs'!$C2:$BN25),ISNUMBER(SEARCH("Credit",'Trades Inputs'!$BB2:$BB25)))</f>
        <v>#N/A</v>
      </c>
    </row>
    <row r="5" spans="2:30" x14ac:dyDescent="0.3">
      <c r="B5" s="20" t="str">
        <v>TRD-2026-022</v>
      </c>
      <c r="C5" s="20" t="str">
        <v>Credit Default Swap Index (CDX/iTraxx IG)</v>
      </c>
      <c r="D5" s="20" t="str">
        <v>Protection Buyer</v>
      </c>
      <c r="E5" s="20" t="str">
        <v>CDS Investment Grade Index (e.g., CDX.NA.IG / iTraxx Europe) [assumed]</v>
      </c>
      <c r="F5" s="20" t="str">
        <v>28-Aug-2026</v>
      </c>
      <c r="G5" s="20" t="str">
        <v>28-Aug-2031</v>
      </c>
      <c r="H5" s="20" t="str">
        <v>USD</v>
      </c>
      <c r="I5" s="20" t="str">
        <v>$20,000,000</v>
      </c>
      <c r="J5" s="20"/>
      <c r="K5" s="20" t="str">
        <v>Quarterly [assumed]</v>
      </c>
      <c r="L5" s="20" t="str">
        <v>Senior Unsecured [assumed]</v>
      </c>
      <c r="M5" s="20"/>
      <c r="N5" s="20" t="str">
        <v>Quarterly [assumed]</v>
      </c>
      <c r="O5" s="20"/>
      <c r="P5" s="20" t="str">
        <v>Senior Unsecured [assumed]</v>
      </c>
      <c r="Q5" s="20"/>
      <c r="R5" s="20"/>
      <c r="S5" s="20"/>
      <c r="T5" s="20"/>
      <c r="U5" s="20" t="str">
        <v>Corporate - Investment Grade Index</v>
      </c>
      <c r="V5" s="20"/>
      <c r="W5" s="20"/>
      <c r="X5" s="20"/>
      <c r="Y5" s="20"/>
      <c r="Z5" s="20"/>
      <c r="AA5" s="20" t="str">
        <v>USD</v>
      </c>
      <c r="AB5" s="20" t="str">
        <v>Credit Delta - CDS Index Spread</v>
      </c>
      <c r="AC5" s="20" t="str">
        <v>Bucket 12 (IG CDS Indices) [assumed]</v>
      </c>
      <c r="AD5" s="20"/>
    </row>
    <row r="6" spans="2:30" x14ac:dyDescent="0.3">
      <c r="B6" s="20" t="str">
        <v>TRD-2026-023</v>
      </c>
      <c r="C6" s="20" t="str">
        <v>Option on CDS Index (Payer/Call)</v>
      </c>
      <c r="D6" s="20" t="str">
        <v>Long (Buyer)</v>
      </c>
      <c r="E6" s="20" t="str">
        <v>CDS Investment Grade Index [assumed]</v>
      </c>
      <c r="F6" s="20" t="str">
        <v>28-Aug-2026</v>
      </c>
      <c r="G6" s="20">
        <v>46446</v>
      </c>
      <c r="H6" s="20" t="str">
        <v>USD</v>
      </c>
      <c r="I6" s="20" t="str">
        <v>$12,000,000</v>
      </c>
      <c r="J6" s="20"/>
      <c r="K6" s="20" t="str">
        <v xml:space="preserve">    - </v>
      </c>
      <c r="L6" s="20" t="str">
        <v>Senior Unsecured [assumed]</v>
      </c>
      <c r="M6" s="20"/>
      <c r="N6" s="20" t="str">
        <v xml:space="preserve">    - </v>
      </c>
      <c r="O6" s="20"/>
      <c r="P6" s="20" t="str">
        <v>Senior Unsecured [assumed]</v>
      </c>
      <c r="Q6" s="20"/>
      <c r="R6" s="20"/>
      <c r="S6" s="20"/>
      <c r="T6" s="20"/>
      <c r="U6" s="20" t="str">
        <v>Corporate - Investment Grade Index</v>
      </c>
      <c r="V6" s="20"/>
      <c r="W6" s="20"/>
      <c r="X6" s="20"/>
      <c r="Y6" s="20"/>
      <c r="Z6" s="20"/>
      <c r="AA6" s="20" t="str">
        <v>USD</v>
      </c>
      <c r="AB6" s="20" t="str">
        <v>Credit Delta &amp; Vega - CDS Index Option</v>
      </c>
      <c r="AC6" s="20" t="str">
        <v>Bucket 12 (IG CDS Indices) [assumed]</v>
      </c>
      <c r="AD6" s="20"/>
    </row>
    <row r="7" spans="2:30" x14ac:dyDescent="0.3">
      <c r="B7" s="20" t="str">
        <v>TRD-2026-024</v>
      </c>
      <c r="C7" s="20" t="str">
        <v>Forward Contract on Corporate Credit Spread</v>
      </c>
      <c r="D7" s="20" t="str">
        <v>Long Spread (Buyer of Forward)</v>
      </c>
      <c r="E7" s="20" t="str">
        <v>Corporate Credit Spread [reference entity not specified]</v>
      </c>
      <c r="F7" s="20" t="str">
        <v>28-Aug-2026</v>
      </c>
      <c r="G7" s="20" t="str">
        <v>28-Aug-2027</v>
      </c>
      <c r="H7" s="20" t="str">
        <v>USD</v>
      </c>
      <c r="I7" s="20" t="str">
        <v>$8,000,000</v>
      </c>
      <c r="J7" s="20"/>
      <c r="K7" s="20" t="str">
        <v xml:space="preserve">    - </v>
      </c>
      <c r="L7" s="20" t="str">
        <v>Senior Unsecured [assumed]</v>
      </c>
      <c r="M7" s="20"/>
      <c r="N7" s="20" t="str">
        <v xml:space="preserve">    - </v>
      </c>
      <c r="O7" s="20"/>
      <c r="P7" s="20" t="str">
        <v>Senior Unsecured [assumed]</v>
      </c>
      <c r="Q7" s="20"/>
      <c r="R7" s="20"/>
      <c r="S7" s="20"/>
      <c r="T7" s="20"/>
      <c r="U7" s="20" t="str">
        <v>Corporate - Investment Grade [assumed]</v>
      </c>
      <c r="V7" s="20"/>
      <c r="W7" s="20"/>
      <c r="X7" s="20"/>
      <c r="Y7" s="20"/>
      <c r="Z7" s="20"/>
      <c r="AA7" s="20" t="str">
        <v>USD</v>
      </c>
      <c r="AB7" s="20" t="str">
        <v>Credit Delta - Forward Spread</v>
      </c>
      <c r="AC7" s="20" t="str">
        <v>Bucket 4-7 (Corporate, IG, by sector) [assumed]</v>
      </c>
      <c r="AD7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Study</vt:lpstr>
      <vt:lpstr>Trades Inputs</vt:lpstr>
      <vt:lpstr>Market Rates</vt:lpstr>
      <vt:lpstr>BS Delta</vt:lpstr>
      <vt:lpstr>Interest Rate Product</vt:lpstr>
      <vt:lpstr>IR Cash Flow</vt:lpstr>
      <vt:lpstr>Equity Class Product</vt:lpstr>
      <vt:lpstr>FX Class Product</vt:lpstr>
      <vt:lpstr>Commodity Class</vt:lpstr>
      <vt:lpstr>Credit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Amir</dc:creator>
  <cp:lastModifiedBy>Mohammed Amir</cp:lastModifiedBy>
  <dcterms:created xsi:type="dcterms:W3CDTF">2026-08-28T17:32:06Z</dcterms:created>
  <dcterms:modified xsi:type="dcterms:W3CDTF">2026-09-14T20:21:07Z</dcterms:modified>
</cp:coreProperties>
</file>