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\Desktop\"/>
    </mc:Choice>
  </mc:AlternateContent>
  <xr:revisionPtr revIDLastSave="0" documentId="8_{B9654E95-0EE9-4EDB-831E-BF4A2F5E1858}" xr6:coauthVersionLast="47" xr6:coauthVersionMax="47" xr10:uidLastSave="{00000000-0000-0000-0000-000000000000}"/>
  <bookViews>
    <workbookView xWindow="-108" yWindow="-108" windowWidth="23256" windowHeight="12456" activeTab="1" xr2:uid="{9831283C-100A-4317-858A-4D08466FFDC3}"/>
  </bookViews>
  <sheets>
    <sheet name="Sheet1" sheetId="1" r:id="rId1"/>
    <sheet name="Sheet2" sheetId="2" r:id="rId2"/>
  </sheet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2" l="1"/>
  <c r="C95" i="2"/>
  <c r="G87" i="2"/>
  <c r="G88" i="2" s="1"/>
  <c r="C83" i="2"/>
  <c r="C84" i="2" s="1"/>
  <c r="G53" i="2"/>
  <c r="C51" i="2"/>
  <c r="D49" i="2"/>
  <c r="C49" i="2"/>
  <c r="G35" i="2"/>
  <c r="G34" i="2"/>
  <c r="G32" i="2"/>
  <c r="G33" i="2" s="1"/>
  <c r="C42" i="2"/>
  <c r="D39" i="2"/>
  <c r="D38" i="2"/>
  <c r="D26" i="2"/>
  <c r="D27" i="2" s="1"/>
  <c r="G12" i="2"/>
  <c r="E20" i="2"/>
  <c r="D20" i="2"/>
  <c r="C16" i="2"/>
  <c r="G16" i="2" s="1"/>
  <c r="C17" i="2"/>
  <c r="G17" i="2" s="1"/>
  <c r="C19" i="2"/>
  <c r="G19" i="2" s="1"/>
  <c r="C18" i="2"/>
  <c r="G18" i="2" s="1"/>
  <c r="C14" i="2"/>
  <c r="G14" i="2" s="1"/>
  <c r="C13" i="2"/>
  <c r="G6" i="2"/>
  <c r="G5" i="2"/>
  <c r="H7" i="2"/>
  <c r="H17" i="2" l="1"/>
  <c r="G49" i="2"/>
  <c r="C15" i="2"/>
  <c r="C20" i="2" s="1"/>
  <c r="H16" i="2"/>
  <c r="H6" i="2"/>
  <c r="G13" i="2"/>
  <c r="H5" i="2"/>
  <c r="H53" i="2"/>
  <c r="H38" i="2"/>
  <c r="H12" i="2"/>
  <c r="H32" i="2"/>
  <c r="H33" i="2" s="1"/>
  <c r="H51" i="2" s="1"/>
  <c r="H19" i="2"/>
  <c r="H35" i="2"/>
  <c r="H39" i="2" s="1"/>
  <c r="H41" i="2" s="1"/>
  <c r="H14" i="2"/>
  <c r="H18" i="2"/>
  <c r="H13" i="2"/>
  <c r="H34" i="2"/>
  <c r="G15" i="2"/>
  <c r="G20" i="2"/>
  <c r="D42" i="2"/>
  <c r="G38" i="2"/>
  <c r="G39" i="2"/>
  <c r="G41" i="2" s="1"/>
  <c r="G51" i="2"/>
  <c r="I7" i="2"/>
  <c r="H49" i="2" l="1"/>
  <c r="H15" i="2"/>
  <c r="H20" i="2" s="1"/>
  <c r="G40" i="2"/>
  <c r="G42" i="2" s="1"/>
  <c r="G36" i="2"/>
  <c r="I53" i="2"/>
  <c r="I13" i="2"/>
  <c r="I18" i="2"/>
  <c r="I12" i="2"/>
  <c r="I34" i="2"/>
  <c r="I38" i="2" s="1"/>
  <c r="I14" i="2"/>
  <c r="I35" i="2"/>
  <c r="I39" i="2" s="1"/>
  <c r="I41" i="2" s="1"/>
  <c r="I32" i="2"/>
  <c r="I33" i="2" s="1"/>
  <c r="I51" i="2" s="1"/>
  <c r="I19" i="2"/>
  <c r="I17" i="2"/>
  <c r="I16" i="2"/>
  <c r="I15" i="2"/>
  <c r="H36" i="2"/>
  <c r="H40" i="2"/>
  <c r="H42" i="2" s="1"/>
  <c r="I5" i="2"/>
  <c r="I6" i="2"/>
  <c r="J7" i="2"/>
  <c r="I49" i="2" l="1"/>
  <c r="G44" i="2"/>
  <c r="G45" i="2" s="1"/>
  <c r="I36" i="2"/>
  <c r="H44" i="2"/>
  <c r="H45" i="2" s="1"/>
  <c r="H46" i="2" s="1"/>
  <c r="I40" i="2"/>
  <c r="I42" i="2" s="1"/>
  <c r="J53" i="2"/>
  <c r="J49" i="2"/>
  <c r="J34" i="2"/>
  <c r="J38" i="2" s="1"/>
  <c r="J15" i="2"/>
  <c r="J13" i="2"/>
  <c r="J19" i="2"/>
  <c r="J14" i="2"/>
  <c r="J35" i="2"/>
  <c r="J39" i="2" s="1"/>
  <c r="J41" i="2" s="1"/>
  <c r="J32" i="2"/>
  <c r="J33" i="2" s="1"/>
  <c r="J51" i="2" s="1"/>
  <c r="J12" i="2"/>
  <c r="J16" i="2"/>
  <c r="J17" i="2"/>
  <c r="J18" i="2"/>
  <c r="I20" i="2"/>
  <c r="K7" i="2"/>
  <c r="J5" i="2"/>
  <c r="J6" i="2"/>
  <c r="J36" i="2" l="1"/>
  <c r="J40" i="2"/>
  <c r="J42" i="2" s="1"/>
  <c r="G46" i="2"/>
  <c r="G47" i="2" s="1"/>
  <c r="G50" i="2" s="1"/>
  <c r="G52" i="2" s="1"/>
  <c r="H47" i="2"/>
  <c r="H50" i="2" s="1"/>
  <c r="H52" i="2" s="1"/>
  <c r="I44" i="2"/>
  <c r="I45" i="2" s="1"/>
  <c r="K35" i="2"/>
  <c r="K53" i="2"/>
  <c r="K49" i="2"/>
  <c r="K39" i="2"/>
  <c r="K41" i="2" s="1"/>
  <c r="K13" i="2"/>
  <c r="K18" i="2"/>
  <c r="K34" i="2"/>
  <c r="K38" i="2" s="1"/>
  <c r="K14" i="2"/>
  <c r="K15" i="2"/>
  <c r="K12" i="2"/>
  <c r="K16" i="2"/>
  <c r="K32" i="2"/>
  <c r="K33" i="2" s="1"/>
  <c r="K17" i="2"/>
  <c r="K19" i="2"/>
  <c r="K51" i="2"/>
  <c r="J20" i="2"/>
  <c r="L7" i="2"/>
  <c r="K5" i="2"/>
  <c r="K6" i="2"/>
  <c r="I46" i="2" l="1"/>
  <c r="I47" i="2" s="1"/>
  <c r="I50" i="2" s="1"/>
  <c r="I52" i="2" s="1"/>
  <c r="G54" i="2"/>
  <c r="K36" i="2"/>
  <c r="K40" i="2"/>
  <c r="K42" i="2" s="1"/>
  <c r="L53" i="2"/>
  <c r="L17" i="2"/>
  <c r="L34" i="2"/>
  <c r="L38" i="2" s="1"/>
  <c r="L40" i="2" s="1"/>
  <c r="L15" i="2"/>
  <c r="L18" i="2"/>
  <c r="L19" i="2"/>
  <c r="L13" i="2"/>
  <c r="L12" i="2"/>
  <c r="L16" i="2"/>
  <c r="L14" i="2"/>
  <c r="L35" i="2"/>
  <c r="L39" i="2" s="1"/>
  <c r="L41" i="2" s="1"/>
  <c r="L32" i="2"/>
  <c r="L33" i="2" s="1"/>
  <c r="L49" i="2" s="1"/>
  <c r="H54" i="2"/>
  <c r="J44" i="2"/>
  <c r="J45" i="2" s="1"/>
  <c r="K20" i="2"/>
  <c r="M7" i="2"/>
  <c r="L5" i="2"/>
  <c r="L6" i="2"/>
  <c r="J46" i="2" l="1"/>
  <c r="J47" i="2" s="1"/>
  <c r="J50" i="2" s="1"/>
  <c r="J52" i="2" s="1"/>
  <c r="L36" i="2"/>
  <c r="L42" i="2"/>
  <c r="K44" i="2"/>
  <c r="K45" i="2" s="1"/>
  <c r="L20" i="2"/>
  <c r="L51" i="2"/>
  <c r="M35" i="2"/>
  <c r="M39" i="2" s="1"/>
  <c r="M41" i="2" s="1"/>
  <c r="M34" i="2"/>
  <c r="M38" i="2" s="1"/>
  <c r="M17" i="2"/>
  <c r="M18" i="2"/>
  <c r="M13" i="2"/>
  <c r="M15" i="2"/>
  <c r="M12" i="2"/>
  <c r="M53" i="2"/>
  <c r="M19" i="2"/>
  <c r="M32" i="2"/>
  <c r="M33" i="2" s="1"/>
  <c r="M49" i="2" s="1"/>
  <c r="M14" i="2"/>
  <c r="M16" i="2"/>
  <c r="M51" i="2"/>
  <c r="I54" i="2"/>
  <c r="N7" i="2"/>
  <c r="M6" i="2"/>
  <c r="M5" i="2"/>
  <c r="M20" i="2" l="1"/>
  <c r="M36" i="2"/>
  <c r="M40" i="2"/>
  <c r="M42" i="2" s="1"/>
  <c r="K46" i="2"/>
  <c r="K47" i="2" s="1"/>
  <c r="K50" i="2" s="1"/>
  <c r="K52" i="2" s="1"/>
  <c r="J54" i="2"/>
  <c r="N35" i="2"/>
  <c r="N39" i="2" s="1"/>
  <c r="N41" i="2" s="1"/>
  <c r="N12" i="2"/>
  <c r="N19" i="2"/>
  <c r="N17" i="2"/>
  <c r="N34" i="2"/>
  <c r="N38" i="2" s="1"/>
  <c r="N40" i="2" s="1"/>
  <c r="N32" i="2"/>
  <c r="N33" i="2" s="1"/>
  <c r="N49" i="2" s="1"/>
  <c r="N13" i="2"/>
  <c r="N15" i="2"/>
  <c r="N14" i="2"/>
  <c r="N16" i="2"/>
  <c r="N53" i="2"/>
  <c r="N18" i="2"/>
  <c r="L44" i="2"/>
  <c r="L45" i="2" s="1"/>
  <c r="O7" i="2"/>
  <c r="N6" i="2"/>
  <c r="N5" i="2"/>
  <c r="N51" i="2" l="1"/>
  <c r="L46" i="2"/>
  <c r="L47" i="2" s="1"/>
  <c r="L50" i="2" s="1"/>
  <c r="L52" i="2" s="1"/>
  <c r="M44" i="2"/>
  <c r="M45" i="2" s="1"/>
  <c r="O35" i="2"/>
  <c r="O39" i="2" s="1"/>
  <c r="O41" i="2" s="1"/>
  <c r="O14" i="2"/>
  <c r="O16" i="2"/>
  <c r="O34" i="2"/>
  <c r="O38" i="2" s="1"/>
  <c r="O40" i="2" s="1"/>
  <c r="O17" i="2"/>
  <c r="O18" i="2"/>
  <c r="O32" i="2"/>
  <c r="O33" i="2" s="1"/>
  <c r="O49" i="2" s="1"/>
  <c r="O13" i="2"/>
  <c r="O15" i="2"/>
  <c r="O19" i="2"/>
  <c r="O12" i="2"/>
  <c r="O53" i="2"/>
  <c r="N36" i="2"/>
  <c r="N42" i="2"/>
  <c r="K54" i="2"/>
  <c r="N20" i="2"/>
  <c r="P7" i="2"/>
  <c r="O6" i="2"/>
  <c r="O5" i="2"/>
  <c r="O51" i="2" l="1"/>
  <c r="O20" i="2"/>
  <c r="M46" i="2"/>
  <c r="M47" i="2" s="1"/>
  <c r="M50" i="2" s="1"/>
  <c r="M52" i="2" s="1"/>
  <c r="L54" i="2"/>
  <c r="P34" i="2"/>
  <c r="P32" i="2"/>
  <c r="P33" i="2" s="1"/>
  <c r="P49" i="2" s="1"/>
  <c r="P53" i="2"/>
  <c r="P19" i="2"/>
  <c r="P38" i="2"/>
  <c r="P40" i="2" s="1"/>
  <c r="P16" i="2"/>
  <c r="P17" i="2"/>
  <c r="P14" i="2"/>
  <c r="P13" i="2"/>
  <c r="P12" i="2"/>
  <c r="P15" i="2"/>
  <c r="P18" i="2"/>
  <c r="P35" i="2"/>
  <c r="P39" i="2" s="1"/>
  <c r="P41" i="2" s="1"/>
  <c r="O42" i="2"/>
  <c r="O36" i="2"/>
  <c r="N44" i="2"/>
  <c r="N45" i="2" s="1"/>
  <c r="Q7" i="2"/>
  <c r="P6" i="2"/>
  <c r="P5" i="2"/>
  <c r="P51" i="2" l="1"/>
  <c r="M54" i="2"/>
  <c r="N46" i="2"/>
  <c r="N47" i="2" s="1"/>
  <c r="N50" i="2" s="1"/>
  <c r="N52" i="2" s="1"/>
  <c r="P20" i="2"/>
  <c r="Q32" i="2"/>
  <c r="Q33" i="2" s="1"/>
  <c r="Q49" i="2" s="1"/>
  <c r="Q16" i="2"/>
  <c r="Q53" i="2"/>
  <c r="Q14" i="2"/>
  <c r="Q17" i="2"/>
  <c r="Q34" i="2"/>
  <c r="Q38" i="2" s="1"/>
  <c r="Q40" i="2" s="1"/>
  <c r="Q35" i="2"/>
  <c r="Q39" i="2"/>
  <c r="Q41" i="2" s="1"/>
  <c r="Q19" i="2"/>
  <c r="Q15" i="2"/>
  <c r="Q13" i="2"/>
  <c r="Q18" i="2"/>
  <c r="Q12" i="2"/>
  <c r="Q51" i="2"/>
  <c r="O44" i="2"/>
  <c r="O45" i="2"/>
  <c r="P42" i="2"/>
  <c r="P36" i="2"/>
  <c r="R7" i="2"/>
  <c r="Q6" i="2"/>
  <c r="Q5" i="2"/>
  <c r="Q20" i="2" l="1"/>
  <c r="R34" i="2"/>
  <c r="R12" i="2"/>
  <c r="R53" i="2"/>
  <c r="R13" i="2"/>
  <c r="R15" i="2"/>
  <c r="R38" i="2"/>
  <c r="R16" i="2"/>
  <c r="R17" i="2"/>
  <c r="R32" i="2"/>
  <c r="R33" i="2" s="1"/>
  <c r="R49" i="2" s="1"/>
  <c r="R19" i="2"/>
  <c r="R14" i="2"/>
  <c r="R18" i="2"/>
  <c r="R35" i="2"/>
  <c r="R39" i="2" s="1"/>
  <c r="R41" i="2" s="1"/>
  <c r="N54" i="2"/>
  <c r="O46" i="2"/>
  <c r="O47" i="2" s="1"/>
  <c r="O50" i="2" s="1"/>
  <c r="O52" i="2" s="1"/>
  <c r="Q42" i="2"/>
  <c r="Q36" i="2"/>
  <c r="P44" i="2"/>
  <c r="P45" i="2"/>
  <c r="S7" i="2"/>
  <c r="R6" i="2"/>
  <c r="R5" i="2"/>
  <c r="R51" i="2" l="1"/>
  <c r="O54" i="2"/>
  <c r="R36" i="2"/>
  <c r="S35" i="2"/>
  <c r="S39" i="2" s="1"/>
  <c r="S41" i="2" s="1"/>
  <c r="S18" i="2"/>
  <c r="S32" i="2"/>
  <c r="S33" i="2" s="1"/>
  <c r="S51" i="2" s="1"/>
  <c r="S16" i="2"/>
  <c r="S53" i="2"/>
  <c r="S12" i="2"/>
  <c r="S13" i="2"/>
  <c r="S15" i="2"/>
  <c r="S34" i="2"/>
  <c r="S38" i="2" s="1"/>
  <c r="S14" i="2"/>
  <c r="S19" i="2"/>
  <c r="S17" i="2"/>
  <c r="R40" i="2"/>
  <c r="R42" i="2" s="1"/>
  <c r="R20" i="2"/>
  <c r="P46" i="2"/>
  <c r="P47" i="2" s="1"/>
  <c r="P50" i="2" s="1"/>
  <c r="P52" i="2" s="1"/>
  <c r="Q44" i="2"/>
  <c r="Q45" i="2"/>
  <c r="T7" i="2"/>
  <c r="S5" i="2"/>
  <c r="S6" i="2"/>
  <c r="S36" i="2" l="1"/>
  <c r="S40" i="2"/>
  <c r="S42" i="2" s="1"/>
  <c r="P54" i="2"/>
  <c r="S49" i="2"/>
  <c r="T53" i="2"/>
  <c r="T13" i="2"/>
  <c r="T12" i="2"/>
  <c r="T32" i="2"/>
  <c r="T33" i="2" s="1"/>
  <c r="T51" i="2" s="1"/>
  <c r="T16" i="2"/>
  <c r="T15" i="2"/>
  <c r="T35" i="2"/>
  <c r="T39" i="2" s="1"/>
  <c r="T41" i="2" s="1"/>
  <c r="T19" i="2"/>
  <c r="T34" i="2"/>
  <c r="T38" i="2" s="1"/>
  <c r="T17" i="2"/>
  <c r="T14" i="2"/>
  <c r="T18" i="2"/>
  <c r="Q46" i="2"/>
  <c r="Q47" i="2" s="1"/>
  <c r="Q50" i="2" s="1"/>
  <c r="Q52" i="2" s="1"/>
  <c r="S20" i="2"/>
  <c r="R44" i="2"/>
  <c r="R45" i="2" s="1"/>
  <c r="U7" i="2"/>
  <c r="T5" i="2"/>
  <c r="T6" i="2"/>
  <c r="R46" i="2" l="1"/>
  <c r="R47" i="2" s="1"/>
  <c r="R50" i="2" s="1"/>
  <c r="R52" i="2" s="1"/>
  <c r="Q54" i="2"/>
  <c r="T36" i="2"/>
  <c r="T40" i="2"/>
  <c r="T42" i="2" s="1"/>
  <c r="U53" i="2"/>
  <c r="U35" i="2"/>
  <c r="U39" i="2" s="1"/>
  <c r="U41" i="2" s="1"/>
  <c r="U18" i="2"/>
  <c r="U12" i="2"/>
  <c r="U32" i="2"/>
  <c r="U33" i="2" s="1"/>
  <c r="U51" i="2" s="1"/>
  <c r="U14" i="2"/>
  <c r="U15" i="2"/>
  <c r="U13" i="2"/>
  <c r="U16" i="2"/>
  <c r="U34" i="2"/>
  <c r="U38" i="2" s="1"/>
  <c r="U19" i="2"/>
  <c r="U17" i="2"/>
  <c r="T49" i="2"/>
  <c r="S44" i="2"/>
  <c r="S45" i="2" s="1"/>
  <c r="T20" i="2"/>
  <c r="V7" i="2"/>
  <c r="U5" i="2"/>
  <c r="U6" i="2"/>
  <c r="U49" i="2" l="1"/>
  <c r="S46" i="2"/>
  <c r="S47" i="2" s="1"/>
  <c r="S50" i="2" s="1"/>
  <c r="S52" i="2" s="1"/>
  <c r="U36" i="2"/>
  <c r="U40" i="2"/>
  <c r="U42" i="2" s="1"/>
  <c r="R54" i="2"/>
  <c r="V53" i="2"/>
  <c r="V15" i="2"/>
  <c r="V13" i="2"/>
  <c r="V35" i="2"/>
  <c r="V39" i="2" s="1"/>
  <c r="V41" i="2" s="1"/>
  <c r="V12" i="2"/>
  <c r="V19" i="2"/>
  <c r="V14" i="2"/>
  <c r="V16" i="2"/>
  <c r="V34" i="2"/>
  <c r="V38" i="2" s="1"/>
  <c r="V32" i="2"/>
  <c r="V33" i="2" s="1"/>
  <c r="V51" i="2" s="1"/>
  <c r="V17" i="2"/>
  <c r="V18" i="2"/>
  <c r="T44" i="2"/>
  <c r="T45" i="2" s="1"/>
  <c r="U20" i="2"/>
  <c r="W7" i="2"/>
  <c r="V5" i="2"/>
  <c r="V6" i="2"/>
  <c r="T46" i="2" l="1"/>
  <c r="T47" i="2" s="1"/>
  <c r="T50" i="2" s="1"/>
  <c r="T52" i="2" s="1"/>
  <c r="V36" i="2"/>
  <c r="V40" i="2"/>
  <c r="V42" i="2" s="1"/>
  <c r="S54" i="2"/>
  <c r="U44" i="2"/>
  <c r="U45" i="2" s="1"/>
  <c r="W53" i="2"/>
  <c r="W13" i="2"/>
  <c r="W35" i="2"/>
  <c r="W39" i="2" s="1"/>
  <c r="W41" i="2" s="1"/>
  <c r="W32" i="2"/>
  <c r="W33" i="2" s="1"/>
  <c r="W51" i="2" s="1"/>
  <c r="W19" i="2"/>
  <c r="W12" i="2"/>
  <c r="W14" i="2"/>
  <c r="W15" i="2"/>
  <c r="W16" i="2"/>
  <c r="W34" i="2"/>
  <c r="W38" i="2" s="1"/>
  <c r="W17" i="2"/>
  <c r="W18" i="2"/>
  <c r="V49" i="2"/>
  <c r="V20" i="2"/>
  <c r="X7" i="2"/>
  <c r="W5" i="2"/>
  <c r="W6" i="2"/>
  <c r="T54" i="2" l="1"/>
  <c r="U46" i="2"/>
  <c r="U47" i="2" s="1"/>
  <c r="U50" i="2" s="1"/>
  <c r="U52" i="2" s="1"/>
  <c r="W36" i="2"/>
  <c r="W40" i="2"/>
  <c r="W42" i="2" s="1"/>
  <c r="X53" i="2"/>
  <c r="X34" i="2"/>
  <c r="X38" i="2" s="1"/>
  <c r="X17" i="2"/>
  <c r="X15" i="2"/>
  <c r="X19" i="2"/>
  <c r="X14" i="2"/>
  <c r="X32" i="2"/>
  <c r="X33" i="2" s="1"/>
  <c r="X49" i="2" s="1"/>
  <c r="X12" i="2"/>
  <c r="X13" i="2"/>
  <c r="X35" i="2"/>
  <c r="X39" i="2" s="1"/>
  <c r="X41" i="2" s="1"/>
  <c r="X18" i="2"/>
  <c r="X16" i="2"/>
  <c r="W20" i="2"/>
  <c r="W49" i="2"/>
  <c r="V44" i="2"/>
  <c r="V45" i="2" s="1"/>
  <c r="Y7" i="2"/>
  <c r="X5" i="2"/>
  <c r="X6" i="2"/>
  <c r="X36" i="2" l="1"/>
  <c r="X40" i="2"/>
  <c r="X42" i="2" s="1"/>
  <c r="U54" i="2"/>
  <c r="W44" i="2"/>
  <c r="W45" i="2" s="1"/>
  <c r="X51" i="2"/>
  <c r="Y35" i="2"/>
  <c r="Y39" i="2" s="1"/>
  <c r="Y41" i="2" s="1"/>
  <c r="Y53" i="2"/>
  <c r="Y38" i="2"/>
  <c r="Y40" i="2" s="1"/>
  <c r="Y18" i="2"/>
  <c r="Y32" i="2"/>
  <c r="Y33" i="2" s="1"/>
  <c r="Y49" i="2" s="1"/>
  <c r="Y12" i="2"/>
  <c r="Y13" i="2"/>
  <c r="Y14" i="2"/>
  <c r="Y19" i="2"/>
  <c r="Y34" i="2"/>
  <c r="Y16" i="2"/>
  <c r="Y15" i="2"/>
  <c r="Y17" i="2"/>
  <c r="V46" i="2"/>
  <c r="V47" i="2" s="1"/>
  <c r="V50" i="2" s="1"/>
  <c r="V52" i="2" s="1"/>
  <c r="X20" i="2"/>
  <c r="Z7" i="2"/>
  <c r="Y6" i="2"/>
  <c r="Y5" i="2"/>
  <c r="V54" i="2" l="1"/>
  <c r="W46" i="2"/>
  <c r="W47" i="2" s="1"/>
  <c r="W50" i="2" s="1"/>
  <c r="W52" i="2" s="1"/>
  <c r="X44" i="2"/>
  <c r="X45" i="2" s="1"/>
  <c r="Y20" i="2"/>
  <c r="Y51" i="2"/>
  <c r="Y36" i="2"/>
  <c r="Y42" i="2"/>
  <c r="Z35" i="2"/>
  <c r="Z39" i="2" s="1"/>
  <c r="Z41" i="2" s="1"/>
  <c r="Z12" i="2"/>
  <c r="Z19" i="2"/>
  <c r="Z34" i="2"/>
  <c r="Z38" i="2" s="1"/>
  <c r="Z17" i="2"/>
  <c r="Z53" i="2"/>
  <c r="Z18" i="2"/>
  <c r="Z32" i="2"/>
  <c r="Z33" i="2" s="1"/>
  <c r="Z49" i="2" s="1"/>
  <c r="Z14" i="2"/>
  <c r="Z15" i="2"/>
  <c r="Z16" i="2"/>
  <c r="Z13" i="2"/>
  <c r="AA7" i="2"/>
  <c r="Z6" i="2"/>
  <c r="Z5" i="2"/>
  <c r="Z51" i="2" l="1"/>
  <c r="Z36" i="2"/>
  <c r="Z40" i="2"/>
  <c r="Z42" i="2" s="1"/>
  <c r="X46" i="2"/>
  <c r="X47" i="2" s="1"/>
  <c r="X50" i="2" s="1"/>
  <c r="X52" i="2" s="1"/>
  <c r="W54" i="2"/>
  <c r="Y44" i="2"/>
  <c r="Y45" i="2" s="1"/>
  <c r="AA53" i="2"/>
  <c r="AA35" i="2"/>
  <c r="AA39" i="2" s="1"/>
  <c r="AA41" i="2" s="1"/>
  <c r="AA14" i="2"/>
  <c r="AA34" i="2"/>
  <c r="AA38" i="2"/>
  <c r="AA18" i="2"/>
  <c r="AA32" i="2"/>
  <c r="AA33" i="2" s="1"/>
  <c r="AA49" i="2" s="1"/>
  <c r="AA12" i="2"/>
  <c r="AA19" i="2"/>
  <c r="AA17" i="2"/>
  <c r="AA13" i="2"/>
  <c r="AA16" i="2"/>
  <c r="AA15" i="2"/>
  <c r="Z20" i="2"/>
  <c r="AB7" i="2"/>
  <c r="AA6" i="2"/>
  <c r="AA5" i="2"/>
  <c r="Y46" i="2" l="1"/>
  <c r="Y47" i="2" s="1"/>
  <c r="Y50" i="2" s="1"/>
  <c r="Y52" i="2" s="1"/>
  <c r="X54" i="2"/>
  <c r="Z44" i="2"/>
  <c r="Z45" i="2" s="1"/>
  <c r="AA20" i="2"/>
  <c r="AB34" i="2"/>
  <c r="AB38" i="2" s="1"/>
  <c r="AB32" i="2"/>
  <c r="AB33" i="2" s="1"/>
  <c r="AB51" i="2" s="1"/>
  <c r="AB19" i="2"/>
  <c r="AB17" i="2"/>
  <c r="AB35" i="2"/>
  <c r="AB39" i="2" s="1"/>
  <c r="AB41" i="2" s="1"/>
  <c r="AB14" i="2"/>
  <c r="AB18" i="2"/>
  <c r="AB12" i="2"/>
  <c r="AB15" i="2"/>
  <c r="AB13" i="2"/>
  <c r="AB16" i="2"/>
  <c r="AB53" i="2"/>
  <c r="AA36" i="2"/>
  <c r="AA51" i="2"/>
  <c r="AA40" i="2"/>
  <c r="AA42" i="2" s="1"/>
  <c r="AC7" i="2"/>
  <c r="AB6" i="2"/>
  <c r="AB5" i="2"/>
  <c r="AB36" i="2" l="1"/>
  <c r="AB40" i="2"/>
  <c r="AB42" i="2" s="1"/>
  <c r="Z46" i="2"/>
  <c r="Z47" i="2" s="1"/>
  <c r="Z50" i="2" s="1"/>
  <c r="Z52" i="2" s="1"/>
  <c r="Y54" i="2"/>
  <c r="AC53" i="2"/>
  <c r="AC35" i="2"/>
  <c r="AC16" i="2"/>
  <c r="AC39" i="2"/>
  <c r="AC14" i="2"/>
  <c r="AC34" i="2"/>
  <c r="AC38" i="2" s="1"/>
  <c r="AC41" i="2"/>
  <c r="AC17" i="2"/>
  <c r="AC18" i="2"/>
  <c r="AC32" i="2"/>
  <c r="AC33" i="2" s="1"/>
  <c r="AC51" i="2" s="1"/>
  <c r="AC12" i="2"/>
  <c r="AC13" i="2"/>
  <c r="AC19" i="2"/>
  <c r="AC15" i="2"/>
  <c r="AB20" i="2"/>
  <c r="AB49" i="2"/>
  <c r="AA44" i="2"/>
  <c r="AA45" i="2" s="1"/>
  <c r="AD7" i="2"/>
  <c r="AC6" i="2"/>
  <c r="AC5" i="2"/>
  <c r="AC20" i="2" l="1"/>
  <c r="AC36" i="2"/>
  <c r="AC40" i="2"/>
  <c r="AC42" i="2" s="1"/>
  <c r="Z54" i="2"/>
  <c r="AD34" i="2"/>
  <c r="AD38" i="2" s="1"/>
  <c r="AD32" i="2"/>
  <c r="AD33" i="2" s="1"/>
  <c r="AD49" i="2" s="1"/>
  <c r="AD35" i="2"/>
  <c r="AD39" i="2" s="1"/>
  <c r="AD41" i="2" s="1"/>
  <c r="AD16" i="2"/>
  <c r="AD17" i="2"/>
  <c r="AD14" i="2"/>
  <c r="AD19" i="2"/>
  <c r="AD15" i="2"/>
  <c r="AD12" i="2"/>
  <c r="AD13" i="2"/>
  <c r="AD18" i="2"/>
  <c r="AD53" i="2"/>
  <c r="AC49" i="2"/>
  <c r="AA46" i="2"/>
  <c r="AA47" i="2" s="1"/>
  <c r="AA50" i="2" s="1"/>
  <c r="AA52" i="2" s="1"/>
  <c r="AB44" i="2"/>
  <c r="AB45" i="2" s="1"/>
  <c r="AE7" i="2"/>
  <c r="AD6" i="2"/>
  <c r="AD5" i="2"/>
  <c r="AD36" i="2" l="1"/>
  <c r="AD40" i="2"/>
  <c r="AD42" i="2" s="1"/>
  <c r="AB46" i="2"/>
  <c r="AB47" i="2" s="1"/>
  <c r="AB50" i="2" s="1"/>
  <c r="AB52" i="2" s="1"/>
  <c r="AE53" i="2"/>
  <c r="AE12" i="2"/>
  <c r="AE18" i="2"/>
  <c r="AE16" i="2"/>
  <c r="AE35" i="2"/>
  <c r="AE39" i="2" s="1"/>
  <c r="AE41" i="2" s="1"/>
  <c r="AE15" i="2"/>
  <c r="AE17" i="2"/>
  <c r="AE14" i="2"/>
  <c r="AE19" i="2"/>
  <c r="AE34" i="2"/>
  <c r="AE38" i="2" s="1"/>
  <c r="AE32" i="2"/>
  <c r="AE33" i="2" s="1"/>
  <c r="AE49" i="2" s="1"/>
  <c r="AE13" i="2"/>
  <c r="AE51" i="2"/>
  <c r="AD51" i="2"/>
  <c r="AA54" i="2"/>
  <c r="AD20" i="2"/>
  <c r="AC44" i="2"/>
  <c r="AC45" i="2" s="1"/>
  <c r="AF7" i="2"/>
  <c r="AE6" i="2"/>
  <c r="AE5" i="2"/>
  <c r="AB54" i="2" l="1"/>
  <c r="AE36" i="2"/>
  <c r="AE40" i="2"/>
  <c r="AE42" i="2" s="1"/>
  <c r="AC46" i="2"/>
  <c r="AC47" i="2" s="1"/>
  <c r="AC50" i="2" s="1"/>
  <c r="AC52" i="2" s="1"/>
  <c r="AF53" i="2"/>
  <c r="AF13" i="2"/>
  <c r="AF32" i="2"/>
  <c r="AF33" i="2" s="1"/>
  <c r="AF51" i="2" s="1"/>
  <c r="AF15" i="2"/>
  <c r="AF16" i="2"/>
  <c r="AF35" i="2"/>
  <c r="AF39" i="2" s="1"/>
  <c r="AF41" i="2" s="1"/>
  <c r="AF17" i="2"/>
  <c r="AF18" i="2"/>
  <c r="AF19" i="2"/>
  <c r="AF34" i="2"/>
  <c r="AF38" i="2" s="1"/>
  <c r="AF12" i="2"/>
  <c r="AF14" i="2"/>
  <c r="AE20" i="2"/>
  <c r="AD44" i="2"/>
  <c r="AD45" i="2"/>
  <c r="AD46" i="2" s="1"/>
  <c r="AG7" i="2"/>
  <c r="AF5" i="2"/>
  <c r="AF6" i="2"/>
  <c r="AC54" i="2" l="1"/>
  <c r="AF36" i="2"/>
  <c r="AF40" i="2"/>
  <c r="AF42" i="2" s="1"/>
  <c r="AF20" i="2"/>
  <c r="AG53" i="2"/>
  <c r="AG39" i="2"/>
  <c r="AG41" i="2" s="1"/>
  <c r="AG12" i="2"/>
  <c r="AG18" i="2"/>
  <c r="AG32" i="2"/>
  <c r="AG33" i="2" s="1"/>
  <c r="AG51" i="2" s="1"/>
  <c r="AG34" i="2"/>
  <c r="AG38" i="2" s="1"/>
  <c r="AG16" i="2"/>
  <c r="AG15" i="2"/>
  <c r="AG35" i="2"/>
  <c r="AG13" i="2"/>
  <c r="AG19" i="2"/>
  <c r="AG17" i="2"/>
  <c r="AG14" i="2"/>
  <c r="AF49" i="2"/>
  <c r="AD47" i="2"/>
  <c r="AD50" i="2" s="1"/>
  <c r="AD52" i="2" s="1"/>
  <c r="AE44" i="2"/>
  <c r="AE45" i="2" s="1"/>
  <c r="AH7" i="2"/>
  <c r="AG5" i="2"/>
  <c r="AG6" i="2"/>
  <c r="AG49" i="2" l="1"/>
  <c r="AE46" i="2"/>
  <c r="AE47" i="2" s="1"/>
  <c r="AE50" i="2" s="1"/>
  <c r="AE52" i="2" s="1"/>
  <c r="AG36" i="2"/>
  <c r="AG40" i="2"/>
  <c r="AG42" i="2" s="1"/>
  <c r="AH15" i="2"/>
  <c r="AH13" i="2"/>
  <c r="AH12" i="2"/>
  <c r="AH32" i="2"/>
  <c r="AH33" i="2" s="1"/>
  <c r="AH49" i="2" s="1"/>
  <c r="AH34" i="2"/>
  <c r="AH16" i="2"/>
  <c r="AH35" i="2"/>
  <c r="AH39" i="2" s="1"/>
  <c r="AH41" i="2" s="1"/>
  <c r="AH38" i="2"/>
  <c r="AH40" i="2" s="1"/>
  <c r="AH17" i="2"/>
  <c r="AH18" i="2"/>
  <c r="AH14" i="2"/>
  <c r="AH19" i="2"/>
  <c r="AD54" i="2"/>
  <c r="AF44" i="2"/>
  <c r="AF45" i="2" s="1"/>
  <c r="AG20" i="2"/>
  <c r="AI7" i="2"/>
  <c r="AH5" i="2"/>
  <c r="AH6" i="2"/>
  <c r="AH51" i="2" l="1"/>
  <c r="AE54" i="2"/>
  <c r="AF46" i="2"/>
  <c r="AF47" i="2" s="1"/>
  <c r="AF50" i="2" s="1"/>
  <c r="AF52" i="2" s="1"/>
  <c r="AI35" i="2"/>
  <c r="AI39" i="2" s="1"/>
  <c r="AI41" i="2" s="1"/>
  <c r="AI13" i="2"/>
  <c r="AI14" i="2"/>
  <c r="AI34" i="2"/>
  <c r="AI38" i="2" s="1"/>
  <c r="AI15" i="2"/>
  <c r="AI16" i="2"/>
  <c r="AI17" i="2"/>
  <c r="AI32" i="2"/>
  <c r="AI33" i="2" s="1"/>
  <c r="AI49" i="2" s="1"/>
  <c r="AI18" i="2"/>
  <c r="AI12" i="2"/>
  <c r="AI19" i="2"/>
  <c r="AH36" i="2"/>
  <c r="AH42" i="2"/>
  <c r="AG44" i="2"/>
  <c r="AG45" i="2" s="1"/>
  <c r="AG46" i="2" s="1"/>
  <c r="AH20" i="2"/>
  <c r="AJ7" i="2"/>
  <c r="AI5" i="2"/>
  <c r="AI6" i="2"/>
  <c r="AI51" i="2" l="1"/>
  <c r="AI36" i="2"/>
  <c r="AI40" i="2"/>
  <c r="AI42" i="2" s="1"/>
  <c r="AF54" i="2"/>
  <c r="AH44" i="2"/>
  <c r="AJ17" i="2"/>
  <c r="AJ15" i="2"/>
  <c r="AJ13" i="2"/>
  <c r="AJ19" i="2"/>
  <c r="AJ34" i="2"/>
  <c r="AJ38" i="2" s="1"/>
  <c r="AJ40" i="2" s="1"/>
  <c r="AJ14" i="2"/>
  <c r="AJ12" i="2"/>
  <c r="AJ35" i="2"/>
  <c r="AJ39" i="2" s="1"/>
  <c r="AJ41" i="2" s="1"/>
  <c r="AJ18" i="2"/>
  <c r="AJ32" i="2"/>
  <c r="AJ33" i="2" s="1"/>
  <c r="AJ51" i="2" s="1"/>
  <c r="AJ16" i="2"/>
  <c r="AI20" i="2"/>
  <c r="AG47" i="2"/>
  <c r="AG50" i="2" s="1"/>
  <c r="AG52" i="2" s="1"/>
  <c r="AH45" i="2"/>
  <c r="AH46" i="2" s="1"/>
  <c r="AK7" i="2"/>
  <c r="AJ5" i="2"/>
  <c r="AJ6" i="2"/>
  <c r="AJ20" i="2" l="1"/>
  <c r="AH47" i="2"/>
  <c r="AH50" i="2" s="1"/>
  <c r="AH52" i="2" s="1"/>
  <c r="AG54" i="2"/>
  <c r="AJ49" i="2"/>
  <c r="AJ36" i="2"/>
  <c r="AJ42" i="2"/>
  <c r="AK35" i="2"/>
  <c r="AK39" i="2" s="1"/>
  <c r="AK41" i="2" s="1"/>
  <c r="AK13" i="2"/>
  <c r="AK19" i="2"/>
  <c r="AK15" i="2"/>
  <c r="AK14" i="2"/>
  <c r="AK34" i="2"/>
  <c r="AK38" i="2" s="1"/>
  <c r="AK12" i="2"/>
  <c r="AK17" i="2"/>
  <c r="AK18" i="2"/>
  <c r="AK32" i="2"/>
  <c r="AK33" i="2" s="1"/>
  <c r="AK51" i="2" s="1"/>
  <c r="AK16" i="2"/>
  <c r="AI44" i="2"/>
  <c r="AI45" i="2" s="1"/>
  <c r="AL7" i="2"/>
  <c r="AK6" i="2"/>
  <c r="AK5" i="2"/>
  <c r="AK36" i="2" l="1"/>
  <c r="AK40" i="2"/>
  <c r="AK42" i="2" s="1"/>
  <c r="AI46" i="2"/>
  <c r="AI47" i="2" s="1"/>
  <c r="AI50" i="2" s="1"/>
  <c r="AI52" i="2" s="1"/>
  <c r="AK49" i="2"/>
  <c r="AK20" i="2"/>
  <c r="AJ44" i="2"/>
  <c r="AJ45" i="2"/>
  <c r="AL35" i="2"/>
  <c r="AL39" i="2" s="1"/>
  <c r="AL41" i="2" s="1"/>
  <c r="AL12" i="2"/>
  <c r="AL34" i="2"/>
  <c r="AL38" i="2" s="1"/>
  <c r="AL19" i="2"/>
  <c r="AL17" i="2"/>
  <c r="AL14" i="2"/>
  <c r="AL13" i="2"/>
  <c r="AL15" i="2"/>
  <c r="AL32" i="2"/>
  <c r="AL33" i="2" s="1"/>
  <c r="AL49" i="2" s="1"/>
  <c r="AL16" i="2"/>
  <c r="AL18" i="2"/>
  <c r="AL51" i="2"/>
  <c r="AM7" i="2"/>
  <c r="AL6" i="2"/>
  <c r="AL5" i="2"/>
  <c r="AL20" i="2" l="1"/>
  <c r="AL36" i="2"/>
  <c r="AL40" i="2"/>
  <c r="AL42" i="2" s="1"/>
  <c r="AK44" i="2"/>
  <c r="AK45" i="2" s="1"/>
  <c r="AJ46" i="2"/>
  <c r="AJ47" i="2" s="1"/>
  <c r="AJ50" i="2" s="1"/>
  <c r="AJ52" i="2" s="1"/>
  <c r="AM14" i="2"/>
  <c r="AM35" i="2"/>
  <c r="AM12" i="2"/>
  <c r="AM18" i="2"/>
  <c r="AM19" i="2"/>
  <c r="AM13" i="2"/>
  <c r="AM39" i="2"/>
  <c r="AM41" i="2" s="1"/>
  <c r="AM15" i="2"/>
  <c r="AM32" i="2"/>
  <c r="AM33" i="2" s="1"/>
  <c r="AM49" i="2" s="1"/>
  <c r="AM17" i="2"/>
  <c r="AM16" i="2"/>
  <c r="AM34" i="2"/>
  <c r="AM38" i="2" s="1"/>
  <c r="AN7" i="2"/>
  <c r="AM6" i="2"/>
  <c r="AM5" i="2"/>
  <c r="AM36" i="2" l="1"/>
  <c r="AM40" i="2"/>
  <c r="AM42" i="2" s="1"/>
  <c r="AK46" i="2"/>
  <c r="AK47" i="2" s="1"/>
  <c r="AK50" i="2" s="1"/>
  <c r="AK52" i="2" s="1"/>
  <c r="AN34" i="2"/>
  <c r="AN38" i="2" s="1"/>
  <c r="AN32" i="2"/>
  <c r="AN33" i="2" s="1"/>
  <c r="AN51" i="2" s="1"/>
  <c r="AN19" i="2"/>
  <c r="AN35" i="2"/>
  <c r="AN39" i="2" s="1"/>
  <c r="AN41" i="2" s="1"/>
  <c r="AN12" i="2"/>
  <c r="AN18" i="2"/>
  <c r="AN13" i="2"/>
  <c r="AN14" i="2"/>
  <c r="AN15" i="2"/>
  <c r="AN17" i="2"/>
  <c r="AN16" i="2"/>
  <c r="AM20" i="2"/>
  <c r="AM51" i="2"/>
  <c r="AL44" i="2"/>
  <c r="AL45" i="2" s="1"/>
  <c r="AL46" i="2" s="1"/>
  <c r="AO7" i="2"/>
  <c r="AN6" i="2"/>
  <c r="AN5" i="2"/>
  <c r="AN36" i="2" l="1"/>
  <c r="AN40" i="2"/>
  <c r="AN42" i="2" s="1"/>
  <c r="AN49" i="2"/>
  <c r="AO35" i="2"/>
  <c r="AO39" i="2" s="1"/>
  <c r="AO41" i="2" s="1"/>
  <c r="AO16" i="2"/>
  <c r="AO34" i="2"/>
  <c r="AO38" i="2" s="1"/>
  <c r="AO14" i="2"/>
  <c r="AO32" i="2"/>
  <c r="AO33" i="2" s="1"/>
  <c r="AO51" i="2" s="1"/>
  <c r="AO12" i="2"/>
  <c r="AO18" i="2"/>
  <c r="AO13" i="2"/>
  <c r="AO15" i="2"/>
  <c r="AO17" i="2"/>
  <c r="AO19" i="2"/>
  <c r="AL47" i="2"/>
  <c r="AL50" i="2" s="1"/>
  <c r="AL52" i="2" s="1"/>
  <c r="AN20" i="2"/>
  <c r="AM44" i="2"/>
  <c r="AM45" i="2" s="1"/>
  <c r="AP7" i="2"/>
  <c r="AO6" i="2"/>
  <c r="AO5" i="2"/>
  <c r="AO49" i="2" l="1"/>
  <c r="AO36" i="2"/>
  <c r="AO40" i="2"/>
  <c r="AO42" i="2" s="1"/>
  <c r="AM46" i="2"/>
  <c r="AM47" i="2" s="1"/>
  <c r="AM50" i="2" s="1"/>
  <c r="AM52" i="2" s="1"/>
  <c r="AP34" i="2"/>
  <c r="AP38" i="2" s="1"/>
  <c r="AP35" i="2"/>
  <c r="AP39" i="2" s="1"/>
  <c r="AP41" i="2" s="1"/>
  <c r="AP17" i="2"/>
  <c r="AP12" i="2"/>
  <c r="AP32" i="2"/>
  <c r="AP33" i="2" s="1"/>
  <c r="AP49" i="2" s="1"/>
  <c r="AP19" i="2"/>
  <c r="AP16" i="2"/>
  <c r="AP13" i="2"/>
  <c r="AP15" i="2"/>
  <c r="AP18" i="2"/>
  <c r="AP14" i="2"/>
  <c r="AO20" i="2"/>
  <c r="AN44" i="2"/>
  <c r="AN45" i="2" s="1"/>
  <c r="AQ7" i="2"/>
  <c r="AP6" i="2"/>
  <c r="AP5" i="2"/>
  <c r="AP51" i="2" l="1"/>
  <c r="AP36" i="2"/>
  <c r="AP40" i="2"/>
  <c r="AP42" i="2" s="1"/>
  <c r="AN46" i="2"/>
  <c r="AN47" i="2" s="1"/>
  <c r="AN50" i="2" s="1"/>
  <c r="AN52" i="2" s="1"/>
  <c r="AO44" i="2"/>
  <c r="AO45" i="2" s="1"/>
  <c r="AQ35" i="2"/>
  <c r="AQ39" i="2"/>
  <c r="AQ41" i="2" s="1"/>
  <c r="AQ32" i="2"/>
  <c r="AQ33" i="2" s="1"/>
  <c r="AQ49" i="2" s="1"/>
  <c r="AQ18" i="2"/>
  <c r="AQ16" i="2"/>
  <c r="AQ34" i="2"/>
  <c r="AQ38" i="2" s="1"/>
  <c r="AQ17" i="2"/>
  <c r="AQ12" i="2"/>
  <c r="AQ13" i="2"/>
  <c r="AQ14" i="2"/>
  <c r="AQ15" i="2"/>
  <c r="AQ19" i="2"/>
  <c r="AP20" i="2"/>
  <c r="AR7" i="2"/>
  <c r="AQ5" i="2"/>
  <c r="AQ6" i="2"/>
  <c r="AQ51" i="2" l="1"/>
  <c r="AQ36" i="2"/>
  <c r="AQ40" i="2"/>
  <c r="AQ42" i="2" s="1"/>
  <c r="AO46" i="2"/>
  <c r="AO47" i="2" s="1"/>
  <c r="AO50" i="2" s="1"/>
  <c r="AO52" i="2" s="1"/>
  <c r="AR12" i="2"/>
  <c r="AR13" i="2"/>
  <c r="AR34" i="2"/>
  <c r="AR38" i="2" s="1"/>
  <c r="AR32" i="2"/>
  <c r="AR33" i="2" s="1"/>
  <c r="AR51" i="2" s="1"/>
  <c r="AR17" i="2"/>
  <c r="AR18" i="2"/>
  <c r="AR16" i="2"/>
  <c r="AR35" i="2"/>
  <c r="AR39" i="2" s="1"/>
  <c r="AR41" i="2" s="1"/>
  <c r="AR19" i="2"/>
  <c r="AR14" i="2"/>
  <c r="AR15" i="2"/>
  <c r="AQ20" i="2"/>
  <c r="AP44" i="2"/>
  <c r="AP45" i="2" s="1"/>
  <c r="AS7" i="2"/>
  <c r="AR5" i="2"/>
  <c r="AR6" i="2"/>
  <c r="AR20" i="2" l="1"/>
  <c r="AR49" i="2"/>
  <c r="AS32" i="2"/>
  <c r="AS33" i="2" s="1"/>
  <c r="AS18" i="2"/>
  <c r="AS49" i="2"/>
  <c r="AS16" i="2"/>
  <c r="AS19" i="2"/>
  <c r="AS12" i="2"/>
  <c r="AS35" i="2"/>
  <c r="AS39" i="2" s="1"/>
  <c r="AS41" i="2" s="1"/>
  <c r="AS14" i="2"/>
  <c r="AS15" i="2"/>
  <c r="AS34" i="2"/>
  <c r="AS38" i="2" s="1"/>
  <c r="AS13" i="2"/>
  <c r="AS17" i="2"/>
  <c r="AS51" i="2"/>
  <c r="AR36" i="2"/>
  <c r="AP46" i="2"/>
  <c r="AP47" i="2" s="1"/>
  <c r="AP50" i="2" s="1"/>
  <c r="AP52" i="2" s="1"/>
  <c r="AR40" i="2"/>
  <c r="AR42" i="2" s="1"/>
  <c r="AQ44" i="2"/>
  <c r="AQ45" i="2" s="1"/>
  <c r="AT7" i="2"/>
  <c r="AS5" i="2"/>
  <c r="AS6" i="2"/>
  <c r="AS36" i="2" l="1"/>
  <c r="AS40" i="2"/>
  <c r="AS42" i="2" s="1"/>
  <c r="AQ46" i="2"/>
  <c r="AQ47" i="2" s="1"/>
  <c r="AQ50" i="2" s="1"/>
  <c r="AQ52" i="2" s="1"/>
  <c r="AR44" i="2"/>
  <c r="AR45" i="2" s="1"/>
  <c r="AS20" i="2"/>
  <c r="AT15" i="2"/>
  <c r="AT12" i="2"/>
  <c r="AT13" i="2"/>
  <c r="AT32" i="2"/>
  <c r="AT33" i="2" s="1"/>
  <c r="AT49" i="2" s="1"/>
  <c r="AT39" i="2"/>
  <c r="AT41" i="2" s="1"/>
  <c r="AT38" i="2"/>
  <c r="AT40" i="2" s="1"/>
  <c r="AT16" i="2"/>
  <c r="AT17" i="2"/>
  <c r="AT19" i="2"/>
  <c r="AT14" i="2"/>
  <c r="AT18" i="2"/>
  <c r="AT35" i="2"/>
  <c r="AT34" i="2"/>
  <c r="AU7" i="2"/>
  <c r="AT5" i="2"/>
  <c r="AT6" i="2"/>
  <c r="AR46" i="2" l="1"/>
  <c r="AR47" i="2" s="1"/>
  <c r="AR50" i="2" s="1"/>
  <c r="AR52" i="2" s="1"/>
  <c r="AT36" i="2"/>
  <c r="AT42" i="2"/>
  <c r="AU12" i="2"/>
  <c r="AU13" i="2"/>
  <c r="AU32" i="2"/>
  <c r="AU33" i="2" s="1"/>
  <c r="AU49" i="2" s="1"/>
  <c r="AU15" i="2"/>
  <c r="AU16" i="2"/>
  <c r="AU14" i="2"/>
  <c r="AU35" i="2"/>
  <c r="AU39" i="2" s="1"/>
  <c r="AU41" i="2" s="1"/>
  <c r="AU18" i="2"/>
  <c r="AU19" i="2"/>
  <c r="AU17" i="2"/>
  <c r="AU34" i="2"/>
  <c r="AU38" i="2" s="1"/>
  <c r="AT51" i="2"/>
  <c r="AT20" i="2"/>
  <c r="AS44" i="2"/>
  <c r="AS45" i="2"/>
  <c r="AS46" i="2" s="1"/>
  <c r="AV7" i="2"/>
  <c r="AU5" i="2"/>
  <c r="AU6" i="2"/>
  <c r="AU51" i="2" l="1"/>
  <c r="AU36" i="2"/>
  <c r="AU40" i="2"/>
  <c r="AU42" i="2" s="1"/>
  <c r="AU20" i="2"/>
  <c r="AV17" i="2"/>
  <c r="AV15" i="2"/>
  <c r="AV16" i="2"/>
  <c r="AV32" i="2"/>
  <c r="AV33" i="2" s="1"/>
  <c r="AV49" i="2" s="1"/>
  <c r="AV18" i="2"/>
  <c r="AV14" i="2"/>
  <c r="AV12" i="2"/>
  <c r="AV19" i="2"/>
  <c r="AV34" i="2"/>
  <c r="AV38" i="2" s="1"/>
  <c r="AV35" i="2"/>
  <c r="AV39" i="2" s="1"/>
  <c r="AV41" i="2" s="1"/>
  <c r="AV13" i="2"/>
  <c r="AS47" i="2"/>
  <c r="AS50" i="2" s="1"/>
  <c r="AS52" i="2" s="1"/>
  <c r="AT44" i="2"/>
  <c r="AT45" i="2" s="1"/>
  <c r="AW7" i="2"/>
  <c r="AV5" i="2"/>
  <c r="AV6" i="2"/>
  <c r="AV51" i="2" l="1"/>
  <c r="AV36" i="2"/>
  <c r="AV40" i="2"/>
  <c r="AV42" i="2" s="1"/>
  <c r="AV20" i="2"/>
  <c r="AT46" i="2"/>
  <c r="AT47" i="2" s="1"/>
  <c r="AT50" i="2" s="1"/>
  <c r="AT52" i="2" s="1"/>
  <c r="AW35" i="2"/>
  <c r="AW39" i="2" s="1"/>
  <c r="AW41" i="2" s="1"/>
  <c r="AW14" i="2"/>
  <c r="AW15" i="2"/>
  <c r="AW38" i="2"/>
  <c r="AW40" i="2" s="1"/>
  <c r="AW32" i="2"/>
  <c r="AW33" i="2" s="1"/>
  <c r="AW51" i="2" s="1"/>
  <c r="AW16" i="2"/>
  <c r="AW18" i="2"/>
  <c r="AW13" i="2"/>
  <c r="AW17" i="2"/>
  <c r="AW19" i="2"/>
  <c r="AW12" i="2"/>
  <c r="AW34" i="2"/>
  <c r="AU44" i="2"/>
  <c r="AU45" i="2" s="1"/>
  <c r="AX7" i="2"/>
  <c r="AW6" i="2"/>
  <c r="AW5" i="2"/>
  <c r="AW49" i="2" l="1"/>
  <c r="AU46" i="2"/>
  <c r="AU47" i="2" s="1"/>
  <c r="AU50" i="2" s="1"/>
  <c r="AU52" i="2" s="1"/>
  <c r="AX35" i="2"/>
  <c r="AX39" i="2" s="1"/>
  <c r="AX41" i="2" s="1"/>
  <c r="AX12" i="2"/>
  <c r="AX19" i="2"/>
  <c r="AX17" i="2"/>
  <c r="AX15" i="2"/>
  <c r="AX14" i="2"/>
  <c r="AX34" i="2"/>
  <c r="AX38" i="2" s="1"/>
  <c r="AX16" i="2"/>
  <c r="AX32" i="2"/>
  <c r="AX33" i="2" s="1"/>
  <c r="AX51" i="2" s="1"/>
  <c r="AX13" i="2"/>
  <c r="AX18" i="2"/>
  <c r="AW42" i="2"/>
  <c r="AW36" i="2"/>
  <c r="AV44" i="2"/>
  <c r="AV45" i="2" s="1"/>
  <c r="AW20" i="2"/>
  <c r="AY7" i="2"/>
  <c r="AX6" i="2"/>
  <c r="AX5" i="2"/>
  <c r="AX49" i="2" l="1"/>
  <c r="AX20" i="2"/>
  <c r="AX36" i="2"/>
  <c r="AX40" i="2"/>
  <c r="AX42" i="2" s="1"/>
  <c r="AY14" i="2"/>
  <c r="AY34" i="2"/>
  <c r="AY38" i="2" s="1"/>
  <c r="AY13" i="2"/>
  <c r="AY19" i="2"/>
  <c r="AY15" i="2"/>
  <c r="AY32" i="2"/>
  <c r="AY33" i="2" s="1"/>
  <c r="AY49" i="2" s="1"/>
  <c r="AY17" i="2"/>
  <c r="AY16" i="2"/>
  <c r="AY18" i="2"/>
  <c r="AY35" i="2"/>
  <c r="AY39" i="2" s="1"/>
  <c r="AY41" i="2" s="1"/>
  <c r="AY12" i="2"/>
  <c r="AV46" i="2"/>
  <c r="AV47" i="2" s="1"/>
  <c r="AV50" i="2" s="1"/>
  <c r="AV52" i="2" s="1"/>
  <c r="AW44" i="2"/>
  <c r="AW45" i="2" s="1"/>
  <c r="AZ7" i="2"/>
  <c r="AY6" i="2"/>
  <c r="AY5" i="2"/>
  <c r="AY51" i="2" l="1"/>
  <c r="AY36" i="2"/>
  <c r="AY40" i="2"/>
  <c r="AY42" i="2" s="1"/>
  <c r="AZ34" i="2"/>
  <c r="AZ38" i="2" s="1"/>
  <c r="AZ32" i="2"/>
  <c r="AZ33" i="2" s="1"/>
  <c r="AZ49" i="2" s="1"/>
  <c r="AZ19" i="2"/>
  <c r="AZ35" i="2"/>
  <c r="AZ39" i="2" s="1"/>
  <c r="AZ41" i="2" s="1"/>
  <c r="AZ14" i="2"/>
  <c r="AZ13" i="2"/>
  <c r="AZ15" i="2"/>
  <c r="AZ17" i="2"/>
  <c r="AZ18" i="2"/>
  <c r="AZ12" i="2"/>
  <c r="AZ16" i="2"/>
  <c r="AY20" i="2"/>
  <c r="AX44" i="2"/>
  <c r="AX45" i="2" s="1"/>
  <c r="AX46" i="2" s="1"/>
  <c r="AW46" i="2"/>
  <c r="AW47" i="2" s="1"/>
  <c r="AW50" i="2" s="1"/>
  <c r="AW52" i="2" s="1"/>
  <c r="BA7" i="2"/>
  <c r="AZ6" i="2"/>
  <c r="AZ5" i="2"/>
  <c r="AZ51" i="2" l="1"/>
  <c r="AZ36" i="2"/>
  <c r="AZ40" i="2"/>
  <c r="AZ42" i="2" s="1"/>
  <c r="AZ20" i="2"/>
  <c r="BA35" i="2"/>
  <c r="BA39" i="2" s="1"/>
  <c r="BA41" i="2" s="1"/>
  <c r="BA34" i="2"/>
  <c r="BA38" i="2" s="1"/>
  <c r="BA16" i="2"/>
  <c r="BA14" i="2"/>
  <c r="BA18" i="2"/>
  <c r="BA13" i="2"/>
  <c r="BA19" i="2"/>
  <c r="BA32" i="2"/>
  <c r="BA33" i="2" s="1"/>
  <c r="BA49" i="2" s="1"/>
  <c r="BA12" i="2"/>
  <c r="BA17" i="2"/>
  <c r="BA15" i="2"/>
  <c r="AX47" i="2"/>
  <c r="AX50" i="2" s="1"/>
  <c r="AX52" i="2" s="1"/>
  <c r="AY44" i="2"/>
  <c r="AY45" i="2" s="1"/>
  <c r="BB7" i="2"/>
  <c r="BA6" i="2"/>
  <c r="BA5" i="2"/>
  <c r="BA51" i="2" l="1"/>
  <c r="AY46" i="2"/>
  <c r="AY47" i="2" s="1"/>
  <c r="AY50" i="2" s="1"/>
  <c r="AY52" i="2" s="1"/>
  <c r="BA36" i="2"/>
  <c r="BA40" i="2"/>
  <c r="BA42" i="2" s="1"/>
  <c r="BB34" i="2"/>
  <c r="BB38" i="2" s="1"/>
  <c r="BB18" i="2"/>
  <c r="BB35" i="2"/>
  <c r="BB39" i="2" s="1"/>
  <c r="BB41" i="2" s="1"/>
  <c r="BB19" i="2"/>
  <c r="BB13" i="2"/>
  <c r="BB14" i="2"/>
  <c r="BB32" i="2"/>
  <c r="BB33" i="2" s="1"/>
  <c r="BB51" i="2" s="1"/>
  <c r="BB17" i="2"/>
  <c r="BB16" i="2"/>
  <c r="BB15" i="2"/>
  <c r="BB12" i="2"/>
  <c r="BA20" i="2"/>
  <c r="AZ44" i="2"/>
  <c r="AZ45" i="2" s="1"/>
  <c r="AZ46" i="2" s="1"/>
  <c r="BC7" i="2"/>
  <c r="BB6" i="2"/>
  <c r="BB5" i="2"/>
  <c r="BB49" i="2" l="1"/>
  <c r="BB20" i="2"/>
  <c r="BB36" i="2"/>
  <c r="BB40" i="2"/>
  <c r="BB42" i="2" s="1"/>
  <c r="BA44" i="2"/>
  <c r="BA45" i="2" s="1"/>
  <c r="BC35" i="2"/>
  <c r="BC39" i="2" s="1"/>
  <c r="BC41" i="2" s="1"/>
  <c r="BC18" i="2"/>
  <c r="BC16" i="2"/>
  <c r="BC12" i="2"/>
  <c r="BC34" i="2"/>
  <c r="BC38" i="2" s="1"/>
  <c r="BC40" i="2" s="1"/>
  <c r="BC13" i="2"/>
  <c r="BC14" i="2"/>
  <c r="BC32" i="2"/>
  <c r="BC33" i="2" s="1"/>
  <c r="BC51" i="2" s="1"/>
  <c r="BC17" i="2"/>
  <c r="BC19" i="2"/>
  <c r="BC15" i="2"/>
  <c r="AZ47" i="2"/>
  <c r="AZ50" i="2" s="1"/>
  <c r="AZ52" i="2" s="1"/>
  <c r="BD7" i="2"/>
  <c r="BC6" i="2"/>
  <c r="BC5" i="2"/>
  <c r="BA46" i="2" l="1"/>
  <c r="BA47" i="2" s="1"/>
  <c r="BA50" i="2" s="1"/>
  <c r="BA52" i="2" s="1"/>
  <c r="BD32" i="2"/>
  <c r="BD33" i="2" s="1"/>
  <c r="BD49" i="2" s="1"/>
  <c r="BD13" i="2"/>
  <c r="BD35" i="2"/>
  <c r="BD39" i="2" s="1"/>
  <c r="BD41" i="2" s="1"/>
  <c r="BD34" i="2"/>
  <c r="BD38" i="2" s="1"/>
  <c r="BD17" i="2"/>
  <c r="BD12" i="2"/>
  <c r="BD18" i="2"/>
  <c r="BD19" i="2"/>
  <c r="BD14" i="2"/>
  <c r="BD15" i="2"/>
  <c r="BD16" i="2"/>
  <c r="BC49" i="2"/>
  <c r="BC20" i="2"/>
  <c r="BB44" i="2"/>
  <c r="BB45" i="2" s="1"/>
  <c r="BC36" i="2"/>
  <c r="BC42" i="2"/>
  <c r="BE7" i="2"/>
  <c r="BD5" i="2"/>
  <c r="BD6" i="2"/>
  <c r="BD51" i="2" l="1"/>
  <c r="BB46" i="2"/>
  <c r="BB47" i="2" s="1"/>
  <c r="BB50" i="2" s="1"/>
  <c r="BB52" i="2" s="1"/>
  <c r="BD36" i="2"/>
  <c r="BD40" i="2"/>
  <c r="BD42" i="2" s="1"/>
  <c r="BE35" i="2"/>
  <c r="BE39" i="2" s="1"/>
  <c r="BE41" i="2" s="1"/>
  <c r="BE12" i="2"/>
  <c r="BE18" i="2"/>
  <c r="BE34" i="2"/>
  <c r="BE38" i="2" s="1"/>
  <c r="BE17" i="2"/>
  <c r="BE15" i="2"/>
  <c r="BE14" i="2"/>
  <c r="BE16" i="2"/>
  <c r="BE13" i="2"/>
  <c r="BE32" i="2"/>
  <c r="BE33" i="2" s="1"/>
  <c r="BE49" i="2" s="1"/>
  <c r="BE19" i="2"/>
  <c r="BE51" i="2"/>
  <c r="BC44" i="2"/>
  <c r="BD20" i="2"/>
  <c r="BC45" i="2"/>
  <c r="BF7" i="2"/>
  <c r="BE5" i="2"/>
  <c r="BE6" i="2"/>
  <c r="BE20" i="2" l="1"/>
  <c r="BE36" i="2"/>
  <c r="BE40" i="2"/>
  <c r="BE42" i="2" s="1"/>
  <c r="BF15" i="2"/>
  <c r="BF32" i="2"/>
  <c r="BF33" i="2" s="1"/>
  <c r="BF51" i="2" s="1"/>
  <c r="BF13" i="2"/>
  <c r="BF35" i="2"/>
  <c r="BF34" i="2"/>
  <c r="BF38" i="2" s="1"/>
  <c r="BF40" i="2" s="1"/>
  <c r="BF12" i="2"/>
  <c r="BF17" i="2"/>
  <c r="BF39" i="2"/>
  <c r="BF41" i="2" s="1"/>
  <c r="BF19" i="2"/>
  <c r="BF18" i="2"/>
  <c r="BF14" i="2"/>
  <c r="BF16" i="2"/>
  <c r="BD44" i="2"/>
  <c r="BD45" i="2" s="1"/>
  <c r="BC46" i="2"/>
  <c r="BC47" i="2" s="1"/>
  <c r="BC50" i="2" s="1"/>
  <c r="BC52" i="2" s="1"/>
  <c r="BG7" i="2"/>
  <c r="BF5" i="2"/>
  <c r="BF6" i="2"/>
  <c r="BD46" i="2" l="1"/>
  <c r="BD47" i="2" s="1"/>
  <c r="BD50" i="2" s="1"/>
  <c r="BD52" i="2" s="1"/>
  <c r="BG12" i="2"/>
  <c r="BG32" i="2"/>
  <c r="BG33" i="2" s="1"/>
  <c r="BG51" i="2" s="1"/>
  <c r="BG13" i="2"/>
  <c r="BG35" i="2"/>
  <c r="BG39" i="2" s="1"/>
  <c r="BG41" i="2" s="1"/>
  <c r="BG16" i="2"/>
  <c r="BG34" i="2"/>
  <c r="BG38" i="2" s="1"/>
  <c r="BG18" i="2"/>
  <c r="BG15" i="2"/>
  <c r="BG19" i="2"/>
  <c r="BG14" i="2"/>
  <c r="BG17" i="2"/>
  <c r="BF36" i="2"/>
  <c r="BF42" i="2"/>
  <c r="BF49" i="2"/>
  <c r="BF20" i="2"/>
  <c r="BE44" i="2"/>
  <c r="BE45" i="2" s="1"/>
  <c r="BH7" i="2"/>
  <c r="BG5" i="2"/>
  <c r="BG6" i="2"/>
  <c r="BG20" i="2" l="1"/>
  <c r="BG49" i="2"/>
  <c r="BE46" i="2"/>
  <c r="BE47" i="2" s="1"/>
  <c r="BE50" i="2" s="1"/>
  <c r="BE52" i="2" s="1"/>
  <c r="BH17" i="2"/>
  <c r="BH15" i="2"/>
  <c r="BH12" i="2"/>
  <c r="BH32" i="2"/>
  <c r="BH33" i="2" s="1"/>
  <c r="BH51" i="2" s="1"/>
  <c r="BH35" i="2"/>
  <c r="BH39" i="2" s="1"/>
  <c r="BH41" i="2" s="1"/>
  <c r="BH16" i="2"/>
  <c r="BH34" i="2"/>
  <c r="BH38" i="2" s="1"/>
  <c r="BH13" i="2"/>
  <c r="BH19" i="2"/>
  <c r="BH14" i="2"/>
  <c r="BH18" i="2"/>
  <c r="BF44" i="2"/>
  <c r="BG36" i="2"/>
  <c r="BG40" i="2"/>
  <c r="BG42" i="2" s="1"/>
  <c r="BF45" i="2"/>
  <c r="BF46" i="2" s="1"/>
  <c r="BI7" i="2"/>
  <c r="BH5" i="2"/>
  <c r="BH6" i="2"/>
  <c r="BH49" i="2" l="1"/>
  <c r="BH20" i="2"/>
  <c r="BH36" i="2"/>
  <c r="BF47" i="2"/>
  <c r="BF50" i="2" s="1"/>
  <c r="BF52" i="2" s="1"/>
  <c r="BG44" i="2"/>
  <c r="BG45" i="2" s="1"/>
  <c r="BI35" i="2"/>
  <c r="BI39" i="2" s="1"/>
  <c r="BI41" i="2" s="1"/>
  <c r="BI16" i="2"/>
  <c r="BI12" i="2"/>
  <c r="BI34" i="2"/>
  <c r="BI38" i="2" s="1"/>
  <c r="BI40" i="2" s="1"/>
  <c r="BI17" i="2"/>
  <c r="BI15" i="2"/>
  <c r="BI18" i="2"/>
  <c r="BI19" i="2"/>
  <c r="BI13" i="2"/>
  <c r="BI32" i="2"/>
  <c r="BI33" i="2" s="1"/>
  <c r="BI49" i="2" s="1"/>
  <c r="BI14" i="2"/>
  <c r="BI51" i="2"/>
  <c r="BH40" i="2"/>
  <c r="BH42" i="2" s="1"/>
  <c r="BJ7" i="2"/>
  <c r="BI6" i="2"/>
  <c r="BI5" i="2"/>
  <c r="BG46" i="2" l="1"/>
  <c r="BG47" i="2" s="1"/>
  <c r="BG50" i="2" s="1"/>
  <c r="BG52" i="2" s="1"/>
  <c r="BJ35" i="2"/>
  <c r="BJ39" i="2" s="1"/>
  <c r="BJ41" i="2" s="1"/>
  <c r="BJ12" i="2"/>
  <c r="BJ19" i="2"/>
  <c r="BJ17" i="2"/>
  <c r="BJ32" i="2"/>
  <c r="BJ33" i="2" s="1"/>
  <c r="BJ49" i="2" s="1"/>
  <c r="BJ15" i="2"/>
  <c r="BJ16" i="2"/>
  <c r="BJ34" i="2"/>
  <c r="BJ38" i="2" s="1"/>
  <c r="BJ13" i="2"/>
  <c r="BJ18" i="2"/>
  <c r="BJ14" i="2"/>
  <c r="BI20" i="2"/>
  <c r="BI36" i="2"/>
  <c r="BI42" i="2"/>
  <c r="BH44" i="2"/>
  <c r="BH45" i="2" s="1"/>
  <c r="BK7" i="2"/>
  <c r="BJ6" i="2"/>
  <c r="BJ5" i="2"/>
  <c r="BH46" i="2" l="1"/>
  <c r="BH47" i="2" s="1"/>
  <c r="BH50" i="2" s="1"/>
  <c r="BH52" i="2" s="1"/>
  <c r="BI44" i="2"/>
  <c r="BI45" i="2" s="1"/>
  <c r="BJ36" i="2"/>
  <c r="BJ51" i="2"/>
  <c r="BJ20" i="2"/>
  <c r="BK14" i="2"/>
  <c r="BK32" i="2"/>
  <c r="BK33" i="2" s="1"/>
  <c r="BK49" i="2" s="1"/>
  <c r="BK15" i="2"/>
  <c r="BK35" i="2"/>
  <c r="BK39" i="2" s="1"/>
  <c r="BK41" i="2" s="1"/>
  <c r="BK12" i="2"/>
  <c r="BK16" i="2"/>
  <c r="BK13" i="2"/>
  <c r="BK34" i="2"/>
  <c r="BK38" i="2" s="1"/>
  <c r="BK40" i="2" s="1"/>
  <c r="BK18" i="2"/>
  <c r="BK17" i="2"/>
  <c r="BK19" i="2"/>
  <c r="BJ40" i="2"/>
  <c r="BJ42" i="2" s="1"/>
  <c r="BL7" i="2"/>
  <c r="BK6" i="2"/>
  <c r="BK5" i="2"/>
  <c r="BI46" i="2" l="1"/>
  <c r="BI47" i="2" s="1"/>
  <c r="BI50" i="2" s="1"/>
  <c r="BI52" i="2" s="1"/>
  <c r="BJ44" i="2"/>
  <c r="BJ45" i="2" s="1"/>
  <c r="BK20" i="2"/>
  <c r="BK51" i="2"/>
  <c r="BL34" i="2"/>
  <c r="BL38" i="2" s="1"/>
  <c r="BL32" i="2"/>
  <c r="BL33" i="2" s="1"/>
  <c r="BL49" i="2" s="1"/>
  <c r="BL19" i="2"/>
  <c r="BL14" i="2"/>
  <c r="BL15" i="2"/>
  <c r="BL35" i="2"/>
  <c r="BL39" i="2" s="1"/>
  <c r="BL41" i="2" s="1"/>
  <c r="BL13" i="2"/>
  <c r="BL17" i="2"/>
  <c r="BL12" i="2"/>
  <c r="BL16" i="2"/>
  <c r="BL18" i="2"/>
  <c r="BK36" i="2"/>
  <c r="BK42" i="2"/>
  <c r="BM7" i="2"/>
  <c r="BL6" i="2"/>
  <c r="BL5" i="2"/>
  <c r="BL51" i="2" l="1"/>
  <c r="BJ46" i="2"/>
  <c r="BJ47" i="2" s="1"/>
  <c r="BJ50" i="2" s="1"/>
  <c r="BJ52" i="2" s="1"/>
  <c r="BL36" i="2"/>
  <c r="BK44" i="2"/>
  <c r="BK45" i="2" s="1"/>
  <c r="BL40" i="2"/>
  <c r="BL42" i="2" s="1"/>
  <c r="BM16" i="2"/>
  <c r="BM14" i="2"/>
  <c r="BM32" i="2"/>
  <c r="BM33" i="2" s="1"/>
  <c r="BM49" i="2" s="1"/>
  <c r="BM15" i="2"/>
  <c r="BM19" i="2"/>
  <c r="BM13" i="2"/>
  <c r="BM34" i="2"/>
  <c r="BM38" i="2" s="1"/>
  <c r="BM17" i="2"/>
  <c r="BM35" i="2"/>
  <c r="BM39" i="2" s="1"/>
  <c r="BM41" i="2" s="1"/>
  <c r="BM12" i="2"/>
  <c r="BM18" i="2"/>
  <c r="BL20" i="2"/>
  <c r="BN7" i="2"/>
  <c r="BM6" i="2"/>
  <c r="BM5" i="2"/>
  <c r="BK46" i="2" l="1"/>
  <c r="BK47" i="2" s="1"/>
  <c r="BK50" i="2" s="1"/>
  <c r="BK52" i="2" s="1"/>
  <c r="BM36" i="2"/>
  <c r="BM40" i="2"/>
  <c r="BM42" i="2" s="1"/>
  <c r="BN34" i="2"/>
  <c r="BN38" i="2" s="1"/>
  <c r="BN13" i="2"/>
  <c r="BN19" i="2"/>
  <c r="BN32" i="2"/>
  <c r="BN33" i="2" s="1"/>
  <c r="BN51" i="2" s="1"/>
  <c r="BN14" i="2"/>
  <c r="BN15" i="2"/>
  <c r="BN18" i="2"/>
  <c r="BN12" i="2"/>
  <c r="BN17" i="2"/>
  <c r="BN16" i="2"/>
  <c r="BN35" i="2"/>
  <c r="BN39" i="2" s="1"/>
  <c r="BN41" i="2" s="1"/>
  <c r="BM51" i="2"/>
  <c r="BL44" i="2"/>
  <c r="BL45" i="2" s="1"/>
  <c r="BM20" i="2"/>
  <c r="BO7" i="2"/>
  <c r="BN6" i="2"/>
  <c r="BN5" i="2"/>
  <c r="BN49" i="2" l="1"/>
  <c r="BL46" i="2"/>
  <c r="BL47" i="2" s="1"/>
  <c r="BL50" i="2" s="1"/>
  <c r="BL52" i="2" s="1"/>
  <c r="BN36" i="2"/>
  <c r="BN40" i="2"/>
  <c r="BN42" i="2" s="1"/>
  <c r="BN20" i="2"/>
  <c r="BO18" i="2"/>
  <c r="BO16" i="2"/>
  <c r="BO39" i="2"/>
  <c r="BO41" i="2" s="1"/>
  <c r="BO19" i="2"/>
  <c r="BO13" i="2"/>
  <c r="BO14" i="2"/>
  <c r="BO32" i="2"/>
  <c r="BO33" i="2" s="1"/>
  <c r="BO51" i="2" s="1"/>
  <c r="BO12" i="2"/>
  <c r="BO15" i="2"/>
  <c r="BO34" i="2"/>
  <c r="BO38" i="2" s="1"/>
  <c r="BO17" i="2"/>
  <c r="BO35" i="2"/>
  <c r="BM44" i="2"/>
  <c r="BM45" i="2" s="1"/>
  <c r="BP7" i="2"/>
  <c r="BO5" i="2"/>
  <c r="BO6" i="2"/>
  <c r="BO49" i="2" l="1"/>
  <c r="BM46" i="2"/>
  <c r="BM47" i="2" s="1"/>
  <c r="BM50" i="2" s="1"/>
  <c r="BM52" i="2" s="1"/>
  <c r="BO36" i="2"/>
  <c r="BO40" i="2"/>
  <c r="BO42" i="2" s="1"/>
  <c r="BO20" i="2"/>
  <c r="BP34" i="2"/>
  <c r="BP38" i="2" s="1"/>
  <c r="BP40" i="2" s="1"/>
  <c r="BP13" i="2"/>
  <c r="BP18" i="2"/>
  <c r="BP19" i="2"/>
  <c r="BP14" i="2"/>
  <c r="BP35" i="2"/>
  <c r="BP39" i="2" s="1"/>
  <c r="BP41" i="2" s="1"/>
  <c r="BP12" i="2"/>
  <c r="BP15" i="2"/>
  <c r="BP16" i="2"/>
  <c r="BP17" i="2"/>
  <c r="BP32" i="2"/>
  <c r="BP33" i="2" s="1"/>
  <c r="BP49" i="2" s="1"/>
  <c r="BP51" i="2"/>
  <c r="BN44" i="2"/>
  <c r="BN45" i="2" s="1"/>
  <c r="BQ7" i="2"/>
  <c r="BP5" i="2"/>
  <c r="BP6" i="2"/>
  <c r="BN46" i="2" l="1"/>
  <c r="BN47" i="2" s="1"/>
  <c r="BN50" i="2" s="1"/>
  <c r="BN52" i="2" s="1"/>
  <c r="BP20" i="2"/>
  <c r="BQ35" i="2"/>
  <c r="BQ39" i="2" s="1"/>
  <c r="BQ41" i="2" s="1"/>
  <c r="BQ32" i="2"/>
  <c r="BQ33" i="2" s="1"/>
  <c r="BQ49" i="2" s="1"/>
  <c r="BQ18" i="2"/>
  <c r="BQ13" i="2"/>
  <c r="BQ14" i="2"/>
  <c r="BQ16" i="2"/>
  <c r="BQ17" i="2"/>
  <c r="BQ19" i="2"/>
  <c r="BQ12" i="2"/>
  <c r="BQ15" i="2"/>
  <c r="BQ34" i="2"/>
  <c r="BQ38" i="2" s="1"/>
  <c r="BP42" i="2"/>
  <c r="BP36" i="2"/>
  <c r="BO44" i="2"/>
  <c r="BO45" i="2" s="1"/>
  <c r="BR7" i="2"/>
  <c r="BQ5" i="2"/>
  <c r="BQ6" i="2"/>
  <c r="BQ51" i="2" l="1"/>
  <c r="BQ36" i="2"/>
  <c r="BQ40" i="2"/>
  <c r="BQ42" i="2" s="1"/>
  <c r="BO46" i="2"/>
  <c r="BO47" i="2" s="1"/>
  <c r="BO50" i="2" s="1"/>
  <c r="BO52" i="2" s="1"/>
  <c r="BR35" i="2"/>
  <c r="BR39" i="2" s="1"/>
  <c r="BR41" i="2" s="1"/>
  <c r="BR12" i="2"/>
  <c r="BR15" i="2"/>
  <c r="BR34" i="2"/>
  <c r="BR13" i="2"/>
  <c r="BR17" i="2"/>
  <c r="BR18" i="2"/>
  <c r="BR38" i="2"/>
  <c r="BR40" i="2" s="1"/>
  <c r="BR19" i="2"/>
  <c r="BR16" i="2"/>
  <c r="BR32" i="2"/>
  <c r="BR33" i="2" s="1"/>
  <c r="BR51" i="2" s="1"/>
  <c r="BR14" i="2"/>
  <c r="BQ20" i="2"/>
  <c r="BP44" i="2"/>
  <c r="BP45" i="2"/>
  <c r="BS7" i="2"/>
  <c r="BR5" i="2"/>
  <c r="BR6" i="2"/>
  <c r="BP46" i="2" l="1"/>
  <c r="BP47" i="2" s="1"/>
  <c r="BP50" i="2" s="1"/>
  <c r="BP52" i="2" s="1"/>
  <c r="BR49" i="2"/>
  <c r="BR36" i="2"/>
  <c r="BR42" i="2"/>
  <c r="BQ44" i="2"/>
  <c r="BQ45" i="2" s="1"/>
  <c r="BR20" i="2"/>
  <c r="BS35" i="2"/>
  <c r="BS39" i="2" s="1"/>
  <c r="BS41" i="2" s="1"/>
  <c r="BS32" i="2"/>
  <c r="BS33" i="2" s="1"/>
  <c r="BS49" i="2" s="1"/>
  <c r="BS34" i="2"/>
  <c r="BS38" i="2" s="1"/>
  <c r="BS18" i="2"/>
  <c r="BS13" i="2"/>
  <c r="BS17" i="2"/>
  <c r="BS12" i="2"/>
  <c r="BS14" i="2"/>
  <c r="BS15" i="2"/>
  <c r="BS16" i="2"/>
  <c r="BS19" i="2"/>
  <c r="BT7" i="2"/>
  <c r="BS5" i="2"/>
  <c r="BS6" i="2"/>
  <c r="BS51" i="2" l="1"/>
  <c r="BS20" i="2"/>
  <c r="BQ46" i="2"/>
  <c r="BQ47" i="2" s="1"/>
  <c r="BQ50" i="2" s="1"/>
  <c r="BQ52" i="2" s="1"/>
  <c r="BS36" i="2"/>
  <c r="BR44" i="2"/>
  <c r="BR45" i="2" s="1"/>
  <c r="BT17" i="2"/>
  <c r="BT12" i="2"/>
  <c r="BT15" i="2"/>
  <c r="BT32" i="2"/>
  <c r="BT33" i="2" s="1"/>
  <c r="BT49" i="2" s="1"/>
  <c r="BT34" i="2"/>
  <c r="BT38" i="2" s="1"/>
  <c r="BT40" i="2" s="1"/>
  <c r="BT13" i="2"/>
  <c r="BT35" i="2"/>
  <c r="BT39" i="2" s="1"/>
  <c r="BT41" i="2" s="1"/>
  <c r="BT18" i="2"/>
  <c r="BT16" i="2"/>
  <c r="BT19" i="2"/>
  <c r="BT14" i="2"/>
  <c r="BS40" i="2"/>
  <c r="BS42" i="2" s="1"/>
  <c r="BU7" i="2"/>
  <c r="BT5" i="2"/>
  <c r="BT6" i="2"/>
  <c r="BT51" i="2" l="1"/>
  <c r="BR46" i="2"/>
  <c r="BR47" i="2" s="1"/>
  <c r="BR50" i="2" s="1"/>
  <c r="BR52" i="2" s="1"/>
  <c r="BU35" i="2"/>
  <c r="BU39" i="2" s="1"/>
  <c r="BU41" i="2" s="1"/>
  <c r="BU12" i="2"/>
  <c r="BU32" i="2"/>
  <c r="BU33" i="2" s="1"/>
  <c r="BU51" i="2" s="1"/>
  <c r="BU16" i="2"/>
  <c r="BU17" i="2"/>
  <c r="BU18" i="2"/>
  <c r="BU14" i="2"/>
  <c r="BU13" i="2"/>
  <c r="BU34" i="2"/>
  <c r="BU38" i="2" s="1"/>
  <c r="BU40" i="2" s="1"/>
  <c r="BU15" i="2"/>
  <c r="BU19" i="2"/>
  <c r="BS44" i="2"/>
  <c r="BS45" i="2" s="1"/>
  <c r="BT36" i="2"/>
  <c r="BT42" i="2"/>
  <c r="BT20" i="2"/>
  <c r="BV7" i="2"/>
  <c r="BU6" i="2"/>
  <c r="BU5" i="2"/>
  <c r="BT44" i="2" l="1"/>
  <c r="BU49" i="2"/>
  <c r="BS46" i="2"/>
  <c r="BS47" i="2" s="1"/>
  <c r="BS50" i="2" s="1"/>
  <c r="BS52" i="2" s="1"/>
  <c r="BV35" i="2"/>
  <c r="BV39" i="2" s="1"/>
  <c r="BV41" i="2" s="1"/>
  <c r="BV12" i="2"/>
  <c r="BV19" i="2"/>
  <c r="BV17" i="2"/>
  <c r="BV16" i="2"/>
  <c r="BV14" i="2"/>
  <c r="BV32" i="2"/>
  <c r="BV33" i="2" s="1"/>
  <c r="BV51" i="2" s="1"/>
  <c r="BV34" i="2"/>
  <c r="BV38" i="2" s="1"/>
  <c r="BV13" i="2"/>
  <c r="BV15" i="2"/>
  <c r="BV18" i="2"/>
  <c r="BU20" i="2"/>
  <c r="BU42" i="2"/>
  <c r="BU36" i="2"/>
  <c r="BT45" i="2"/>
  <c r="BW7" i="2"/>
  <c r="BV6" i="2"/>
  <c r="BV5" i="2"/>
  <c r="BV20" i="2" l="1"/>
  <c r="BV49" i="2"/>
  <c r="BV36" i="2"/>
  <c r="BV40" i="2"/>
  <c r="BV42" i="2" s="1"/>
  <c r="BW14" i="2"/>
  <c r="BW35" i="2"/>
  <c r="BW39" i="2" s="1"/>
  <c r="BW41" i="2" s="1"/>
  <c r="BW34" i="2"/>
  <c r="BW38" i="2" s="1"/>
  <c r="BW12" i="2"/>
  <c r="BW16" i="2"/>
  <c r="BW17" i="2"/>
  <c r="BW18" i="2"/>
  <c r="BW19" i="2"/>
  <c r="BW32" i="2"/>
  <c r="BW33" i="2" s="1"/>
  <c r="BW13" i="2"/>
  <c r="BW15" i="2"/>
  <c r="BW49" i="2"/>
  <c r="BW51" i="2"/>
  <c r="BU44" i="2"/>
  <c r="BU45" i="2"/>
  <c r="BT46" i="2"/>
  <c r="BT47" i="2" s="1"/>
  <c r="BT50" i="2" s="1"/>
  <c r="BT52" i="2" s="1"/>
  <c r="BX7" i="2"/>
  <c r="BW6" i="2"/>
  <c r="BW5" i="2"/>
  <c r="BW20" i="2" l="1"/>
  <c r="BW36" i="2"/>
  <c r="BW40" i="2"/>
  <c r="BW42" i="2" s="1"/>
  <c r="BX34" i="2"/>
  <c r="BX38" i="2" s="1"/>
  <c r="BX32" i="2"/>
  <c r="BX33" i="2" s="1"/>
  <c r="BX49" i="2" s="1"/>
  <c r="BX19" i="2"/>
  <c r="BX35" i="2"/>
  <c r="BX39" i="2" s="1"/>
  <c r="BX41" i="2" s="1"/>
  <c r="BX15" i="2"/>
  <c r="BX16" i="2"/>
  <c r="BX12" i="2"/>
  <c r="BX17" i="2"/>
  <c r="BX14" i="2"/>
  <c r="BX18" i="2"/>
  <c r="BX13" i="2"/>
  <c r="BV44" i="2"/>
  <c r="BV45" i="2" s="1"/>
  <c r="BU46" i="2"/>
  <c r="BU47" i="2" s="1"/>
  <c r="BU50" i="2" s="1"/>
  <c r="BU52" i="2" s="1"/>
  <c r="BY7" i="2"/>
  <c r="BX6" i="2"/>
  <c r="BX5" i="2"/>
  <c r="BX51" i="2" l="1"/>
  <c r="BX36" i="2"/>
  <c r="BX40" i="2"/>
  <c r="BX42" i="2" s="1"/>
  <c r="BY16" i="2"/>
  <c r="BY14" i="2"/>
  <c r="BY15" i="2"/>
  <c r="BY34" i="2"/>
  <c r="BY38" i="2" s="1"/>
  <c r="BY12" i="2"/>
  <c r="BY35" i="2"/>
  <c r="BY39" i="2" s="1"/>
  <c r="BY41" i="2" s="1"/>
  <c r="BY18" i="2"/>
  <c r="BY19" i="2"/>
  <c r="BY32" i="2"/>
  <c r="BY33" i="2" s="1"/>
  <c r="BY49" i="2" s="1"/>
  <c r="BY13" i="2"/>
  <c r="BY17" i="2"/>
  <c r="BX20" i="2"/>
  <c r="BV46" i="2"/>
  <c r="BV47" i="2" s="1"/>
  <c r="BV50" i="2" s="1"/>
  <c r="BV52" i="2" s="1"/>
  <c r="BW44" i="2"/>
  <c r="BW45" i="2" s="1"/>
  <c r="BW46" i="2" s="1"/>
  <c r="BZ7" i="2"/>
  <c r="BY6" i="2"/>
  <c r="BY5" i="2"/>
  <c r="BY51" i="2" l="1"/>
  <c r="BY36" i="2"/>
  <c r="BZ34" i="2"/>
  <c r="BZ38" i="2"/>
  <c r="BZ15" i="2"/>
  <c r="BZ12" i="2"/>
  <c r="BZ16" i="2"/>
  <c r="BZ35" i="2"/>
  <c r="BZ39" i="2" s="1"/>
  <c r="BZ41" i="2" s="1"/>
  <c r="BZ14" i="2"/>
  <c r="BZ17" i="2"/>
  <c r="BZ19" i="2"/>
  <c r="BZ18" i="2"/>
  <c r="BZ32" i="2"/>
  <c r="BZ33" i="2" s="1"/>
  <c r="BZ49" i="2" s="1"/>
  <c r="BZ13" i="2"/>
  <c r="BY40" i="2"/>
  <c r="BY42" i="2" s="1"/>
  <c r="BW47" i="2"/>
  <c r="BW50" i="2" s="1"/>
  <c r="BW52" i="2" s="1"/>
  <c r="BY20" i="2"/>
  <c r="BX44" i="2"/>
  <c r="BX45" i="2" s="1"/>
  <c r="CA7" i="2"/>
  <c r="BZ6" i="2"/>
  <c r="BZ5" i="2"/>
  <c r="BZ51" i="2" l="1"/>
  <c r="BX46" i="2"/>
  <c r="BX47" i="2" s="1"/>
  <c r="BX50" i="2" s="1"/>
  <c r="BX52" i="2" s="1"/>
  <c r="BZ36" i="2"/>
  <c r="BZ40" i="2"/>
  <c r="BZ42" i="2" s="1"/>
  <c r="CA49" i="2"/>
  <c r="CA18" i="2"/>
  <c r="CA16" i="2"/>
  <c r="CA35" i="2"/>
  <c r="CA39" i="2" s="1"/>
  <c r="CA41" i="2" s="1"/>
  <c r="CA14" i="2"/>
  <c r="CA15" i="2"/>
  <c r="CA34" i="2"/>
  <c r="CA38" i="2" s="1"/>
  <c r="CA40" i="2" s="1"/>
  <c r="CA12" i="2"/>
  <c r="CA32" i="2"/>
  <c r="CA33" i="2" s="1"/>
  <c r="CA19" i="2"/>
  <c r="CA13" i="2"/>
  <c r="CA17" i="2"/>
  <c r="CA51" i="2"/>
  <c r="BY44" i="2"/>
  <c r="BY45" i="2" s="1"/>
  <c r="BZ20" i="2"/>
  <c r="CB7" i="2"/>
  <c r="CA5" i="2"/>
  <c r="CA6" i="2"/>
  <c r="CA20" i="2" l="1"/>
  <c r="CA36" i="2"/>
  <c r="CA42" i="2"/>
  <c r="CB13" i="2"/>
  <c r="CB32" i="2"/>
  <c r="CB33" i="2" s="1"/>
  <c r="CB49" i="2" s="1"/>
  <c r="CB19" i="2"/>
  <c r="CB35" i="2"/>
  <c r="CB39" i="2" s="1"/>
  <c r="CB41" i="2" s="1"/>
  <c r="CB14" i="2"/>
  <c r="CB34" i="2"/>
  <c r="CB38" i="2" s="1"/>
  <c r="CB40" i="2" s="1"/>
  <c r="CB15" i="2"/>
  <c r="CB16" i="2"/>
  <c r="CB17" i="2"/>
  <c r="CB12" i="2"/>
  <c r="CB18" i="2"/>
  <c r="BZ44" i="2"/>
  <c r="BZ45" i="2" s="1"/>
  <c r="BY46" i="2"/>
  <c r="BY47" i="2" s="1"/>
  <c r="BY50" i="2" s="1"/>
  <c r="BY52" i="2" s="1"/>
  <c r="CC7" i="2"/>
  <c r="CB5" i="2"/>
  <c r="CB6" i="2"/>
  <c r="BZ46" i="2" l="1"/>
  <c r="BZ47" i="2" s="1"/>
  <c r="BZ50" i="2" s="1"/>
  <c r="BZ52" i="2" s="1"/>
  <c r="CB51" i="2"/>
  <c r="CB20" i="2"/>
  <c r="CA44" i="2"/>
  <c r="CA45" i="2" s="1"/>
  <c r="CC18" i="2"/>
  <c r="CC13" i="2"/>
  <c r="CC32" i="2"/>
  <c r="CC33" i="2" s="1"/>
  <c r="CC51" i="2" s="1"/>
  <c r="CC19" i="2"/>
  <c r="CC35" i="2"/>
  <c r="CC39" i="2" s="1"/>
  <c r="CC41" i="2" s="1"/>
  <c r="CC14" i="2"/>
  <c r="CC34" i="2"/>
  <c r="CC38" i="2" s="1"/>
  <c r="CC16" i="2"/>
  <c r="CC17" i="2"/>
  <c r="CC12" i="2"/>
  <c r="CC15" i="2"/>
  <c r="CB42" i="2"/>
  <c r="CB36" i="2"/>
  <c r="CD7" i="2"/>
  <c r="CC5" i="2"/>
  <c r="CC6" i="2"/>
  <c r="CC49" i="2" l="1"/>
  <c r="CC36" i="2"/>
  <c r="CC40" i="2"/>
  <c r="CC42" i="2" s="1"/>
  <c r="CA46" i="2"/>
  <c r="CA47" i="2" s="1"/>
  <c r="CA50" i="2" s="1"/>
  <c r="CA52" i="2" s="1"/>
  <c r="CD35" i="2"/>
  <c r="CD39" i="2" s="1"/>
  <c r="CD41" i="2" s="1"/>
  <c r="CD34" i="2"/>
  <c r="CD32" i="2"/>
  <c r="CD33" i="2" s="1"/>
  <c r="CD51" i="2" s="1"/>
  <c r="CD15" i="2"/>
  <c r="CD13" i="2"/>
  <c r="CD14" i="2"/>
  <c r="CD19" i="2"/>
  <c r="CD38" i="2"/>
  <c r="CD40" i="2" s="1"/>
  <c r="CD16" i="2"/>
  <c r="CD17" i="2"/>
  <c r="CD12" i="2"/>
  <c r="CD18" i="2"/>
  <c r="CB44" i="2"/>
  <c r="CB45" i="2" s="1"/>
  <c r="CC20" i="2"/>
  <c r="CE7" i="2"/>
  <c r="CD5" i="2"/>
  <c r="CD6" i="2"/>
  <c r="CD20" i="2" l="1"/>
  <c r="CD49" i="2"/>
  <c r="CE12" i="2"/>
  <c r="CE18" i="2"/>
  <c r="CE35" i="2"/>
  <c r="CE39" i="2" s="1"/>
  <c r="CE41" i="2" s="1"/>
  <c r="CE13" i="2"/>
  <c r="CE32" i="2"/>
  <c r="CE33" i="2" s="1"/>
  <c r="CE51" i="2" s="1"/>
  <c r="CE14" i="2"/>
  <c r="CE34" i="2"/>
  <c r="CE38" i="2" s="1"/>
  <c r="CE16" i="2"/>
  <c r="CE17" i="2"/>
  <c r="CE19" i="2"/>
  <c r="CE15" i="2"/>
  <c r="CD36" i="2"/>
  <c r="CD42" i="2"/>
  <c r="CB46" i="2"/>
  <c r="CB47" i="2" s="1"/>
  <c r="CB50" i="2" s="1"/>
  <c r="CB52" i="2" s="1"/>
  <c r="CC44" i="2"/>
  <c r="CC45" i="2" s="1"/>
  <c r="CF7" i="2"/>
  <c r="CE5" i="2"/>
  <c r="CE6" i="2"/>
  <c r="CE49" i="2" l="1"/>
  <c r="CE36" i="2"/>
  <c r="CE40" i="2"/>
  <c r="CE42" i="2" s="1"/>
  <c r="CC46" i="2"/>
  <c r="CC47" i="2" s="1"/>
  <c r="CC50" i="2" s="1"/>
  <c r="CC52" i="2" s="1"/>
  <c r="CE20" i="2"/>
  <c r="CF35" i="2"/>
  <c r="CF39" i="2" s="1"/>
  <c r="CF41" i="2" s="1"/>
  <c r="CF17" i="2"/>
  <c r="CF34" i="2"/>
  <c r="CF38" i="2" s="1"/>
  <c r="CF32" i="2"/>
  <c r="CF33" i="2" s="1"/>
  <c r="CF51" i="2" s="1"/>
  <c r="CF15" i="2"/>
  <c r="CF18" i="2"/>
  <c r="CF13" i="2"/>
  <c r="CF19" i="2"/>
  <c r="CF16" i="2"/>
  <c r="CF14" i="2"/>
  <c r="CF12" i="2"/>
  <c r="CD44" i="2"/>
  <c r="CD45" i="2" s="1"/>
  <c r="CG7" i="2"/>
  <c r="CF5" i="2"/>
  <c r="CF6" i="2"/>
  <c r="CF49" i="2" l="1"/>
  <c r="CD46" i="2"/>
  <c r="CD47" i="2" s="1"/>
  <c r="CD50" i="2" s="1"/>
  <c r="CD52" i="2" s="1"/>
  <c r="CG12" i="2"/>
  <c r="CG32" i="2"/>
  <c r="CG33" i="2" s="1"/>
  <c r="CG49" i="2" s="1"/>
  <c r="CG34" i="2"/>
  <c r="CG38" i="2" s="1"/>
  <c r="CG17" i="2"/>
  <c r="CG18" i="2"/>
  <c r="CG13" i="2"/>
  <c r="CG35" i="2"/>
  <c r="CG39" i="2" s="1"/>
  <c r="CG41" i="2" s="1"/>
  <c r="CG15" i="2"/>
  <c r="CG19" i="2"/>
  <c r="CG14" i="2"/>
  <c r="CG16" i="2"/>
  <c r="CF36" i="2"/>
  <c r="CF20" i="2"/>
  <c r="CF40" i="2"/>
  <c r="CF42" i="2" s="1"/>
  <c r="CE44" i="2"/>
  <c r="CE45" i="2" s="1"/>
  <c r="CH7" i="2"/>
  <c r="CG6" i="2"/>
  <c r="CG5" i="2"/>
  <c r="CG51" i="2" l="1"/>
  <c r="CE46" i="2"/>
  <c r="CE47" i="2" s="1"/>
  <c r="CE50" i="2" s="1"/>
  <c r="CE52" i="2" s="1"/>
  <c r="CG36" i="2"/>
  <c r="CG40" i="2"/>
  <c r="CG42" i="2" s="1"/>
  <c r="CG20" i="2"/>
  <c r="CH12" i="2"/>
  <c r="CH35" i="2"/>
  <c r="CH39" i="2" s="1"/>
  <c r="CH41" i="2" s="1"/>
  <c r="CH19" i="2"/>
  <c r="CH17" i="2"/>
  <c r="CH34" i="2"/>
  <c r="CH38" i="2" s="1"/>
  <c r="CH32" i="2"/>
  <c r="CH33" i="2" s="1"/>
  <c r="CH51" i="2" s="1"/>
  <c r="CH13" i="2"/>
  <c r="CH15" i="2"/>
  <c r="CH16" i="2"/>
  <c r="CH14" i="2"/>
  <c r="CH18" i="2"/>
  <c r="CF44" i="2"/>
  <c r="CF45" i="2" s="1"/>
  <c r="CI7" i="2"/>
  <c r="CH6" i="2"/>
  <c r="CH5" i="2"/>
  <c r="CF46" i="2" l="1"/>
  <c r="CF47" i="2" s="1"/>
  <c r="CF50" i="2" s="1"/>
  <c r="CF52" i="2" s="1"/>
  <c r="CH36" i="2"/>
  <c r="CI14" i="2"/>
  <c r="CI12" i="2"/>
  <c r="CI16" i="2"/>
  <c r="CI17" i="2"/>
  <c r="CI32" i="2"/>
  <c r="CI33" i="2" s="1"/>
  <c r="CI51" i="2" s="1"/>
  <c r="CI18" i="2"/>
  <c r="CI15" i="2"/>
  <c r="CI13" i="2"/>
  <c r="CI19" i="2"/>
  <c r="CI34" i="2"/>
  <c r="CI38" i="2" s="1"/>
  <c r="CI35" i="2"/>
  <c r="CI39" i="2" s="1"/>
  <c r="CI41" i="2" s="1"/>
  <c r="CH20" i="2"/>
  <c r="CH49" i="2"/>
  <c r="CG44" i="2"/>
  <c r="CG45" i="2" s="1"/>
  <c r="CH40" i="2"/>
  <c r="CH42" i="2" s="1"/>
  <c r="CJ7" i="2"/>
  <c r="CI6" i="2"/>
  <c r="CI5" i="2"/>
  <c r="CI49" i="2" l="1"/>
  <c r="CG46" i="2"/>
  <c r="CG47" i="2" s="1"/>
  <c r="CG50" i="2" s="1"/>
  <c r="CG52" i="2" s="1"/>
  <c r="CI36" i="2"/>
  <c r="CI40" i="2"/>
  <c r="CI42" i="2" s="1"/>
  <c r="CH44" i="2"/>
  <c r="CH45" i="2" s="1"/>
  <c r="CJ34" i="2"/>
  <c r="CJ38" i="2" s="1"/>
  <c r="CJ40" i="2" s="1"/>
  <c r="CJ32" i="2"/>
  <c r="CJ33" i="2" s="1"/>
  <c r="CJ51" i="2" s="1"/>
  <c r="CJ35" i="2"/>
  <c r="CJ39" i="2" s="1"/>
  <c r="CJ41" i="2" s="1"/>
  <c r="CJ19" i="2"/>
  <c r="CJ16" i="2"/>
  <c r="CJ17" i="2"/>
  <c r="CJ15" i="2"/>
  <c r="CJ14" i="2"/>
  <c r="CJ18" i="2"/>
  <c r="CJ13" i="2"/>
  <c r="CJ12" i="2"/>
  <c r="CI20" i="2"/>
  <c r="CK7" i="2"/>
  <c r="CJ6" i="2"/>
  <c r="CJ5" i="2"/>
  <c r="CJ49" i="2" l="1"/>
  <c r="CH46" i="2"/>
  <c r="CH47" i="2" s="1"/>
  <c r="CH50" i="2" s="1"/>
  <c r="CH52" i="2" s="1"/>
  <c r="CK16" i="2"/>
  <c r="CK14" i="2"/>
  <c r="CK35" i="2"/>
  <c r="CK39" i="2" s="1"/>
  <c r="CK41" i="2" s="1"/>
  <c r="CK32" i="2"/>
  <c r="CK33" i="2" s="1"/>
  <c r="CK51" i="2" s="1"/>
  <c r="CK13" i="2"/>
  <c r="CK19" i="2"/>
  <c r="CK17" i="2"/>
  <c r="CK18" i="2"/>
  <c r="CK34" i="2"/>
  <c r="CK38" i="2" s="1"/>
  <c r="CK15" i="2"/>
  <c r="CK12" i="2"/>
  <c r="CI44" i="2"/>
  <c r="CI45" i="2" s="1"/>
  <c r="CJ20" i="2"/>
  <c r="CJ42" i="2"/>
  <c r="CJ36" i="2"/>
  <c r="CL7" i="2"/>
  <c r="CK6" i="2"/>
  <c r="CK5" i="2"/>
  <c r="CK20" i="2" l="1"/>
  <c r="CK36" i="2"/>
  <c r="CK40" i="2"/>
  <c r="CK42" i="2" s="1"/>
  <c r="CI46" i="2"/>
  <c r="CI47" i="2" s="1"/>
  <c r="CI50" i="2" s="1"/>
  <c r="CI52" i="2" s="1"/>
  <c r="CL34" i="2"/>
  <c r="CL35" i="2"/>
  <c r="CL39" i="2" s="1"/>
  <c r="CL41" i="2" s="1"/>
  <c r="CL38" i="2"/>
  <c r="CL15" i="2"/>
  <c r="CL16" i="2"/>
  <c r="CL17" i="2"/>
  <c r="CL18" i="2"/>
  <c r="CL32" i="2"/>
  <c r="CL33" i="2" s="1"/>
  <c r="CL51" i="2" s="1"/>
  <c r="CL13" i="2"/>
  <c r="CL19" i="2"/>
  <c r="CL12" i="2"/>
  <c r="CL14" i="2"/>
  <c r="CK49" i="2"/>
  <c r="CJ44" i="2"/>
  <c r="CJ45" i="2"/>
  <c r="CM7" i="2"/>
  <c r="CL6" i="2"/>
  <c r="CL5" i="2"/>
  <c r="CL49" i="2" l="1"/>
  <c r="CL36" i="2"/>
  <c r="CJ46" i="2"/>
  <c r="CJ47" i="2" s="1"/>
  <c r="CJ50" i="2" s="1"/>
  <c r="CJ52" i="2" s="1"/>
  <c r="CL40" i="2"/>
  <c r="CL42" i="2" s="1"/>
  <c r="CK44" i="2"/>
  <c r="CK45" i="2" s="1"/>
  <c r="CL20" i="2"/>
  <c r="CM18" i="2"/>
  <c r="CM16" i="2"/>
  <c r="CM12" i="2"/>
  <c r="CM15" i="2"/>
  <c r="CM32" i="2"/>
  <c r="CM33" i="2" s="1"/>
  <c r="CM51" i="2" s="1"/>
  <c r="CM13" i="2"/>
  <c r="CM17" i="2"/>
  <c r="CM35" i="2"/>
  <c r="CM39" i="2" s="1"/>
  <c r="CM41" i="2" s="1"/>
  <c r="CM14" i="2"/>
  <c r="CM19" i="2"/>
  <c r="CM34" i="2"/>
  <c r="CM38" i="2" s="1"/>
  <c r="CN7" i="2"/>
  <c r="CM5" i="2"/>
  <c r="CM6" i="2"/>
  <c r="CM36" i="2" l="1"/>
  <c r="CM40" i="2"/>
  <c r="CM42" i="2" s="1"/>
  <c r="CK46" i="2"/>
  <c r="CK47" i="2" s="1"/>
  <c r="CK50" i="2" s="1"/>
  <c r="CK52" i="2" s="1"/>
  <c r="CN13" i="2"/>
  <c r="CN12" i="2"/>
  <c r="CN16" i="2"/>
  <c r="CN15" i="2"/>
  <c r="CN34" i="2"/>
  <c r="CN38" i="2" s="1"/>
  <c r="CN40" i="2" s="1"/>
  <c r="CN18" i="2"/>
  <c r="CN32" i="2"/>
  <c r="CN33" i="2" s="1"/>
  <c r="CN49" i="2" s="1"/>
  <c r="CN19" i="2"/>
  <c r="CN17" i="2"/>
  <c r="CN14" i="2"/>
  <c r="CN35" i="2"/>
  <c r="CN39" i="2" s="1"/>
  <c r="CN41" i="2" s="1"/>
  <c r="CM49" i="2"/>
  <c r="CL44" i="2"/>
  <c r="CL45" i="2" s="1"/>
  <c r="CM20" i="2"/>
  <c r="CO7" i="2"/>
  <c r="CN5" i="2"/>
  <c r="CN6" i="2"/>
  <c r="CL46" i="2" l="1"/>
  <c r="CL47" i="2" s="1"/>
  <c r="CL50" i="2" s="1"/>
  <c r="CL52" i="2" s="1"/>
  <c r="CN42" i="2"/>
  <c r="CN36" i="2"/>
  <c r="CO18" i="2"/>
  <c r="CO14" i="2"/>
  <c r="CO12" i="2"/>
  <c r="CO15" i="2"/>
  <c r="CO16" i="2"/>
  <c r="CO17" i="2"/>
  <c r="CO34" i="2"/>
  <c r="CO38" i="2" s="1"/>
  <c r="CO13" i="2"/>
  <c r="CO19" i="2"/>
  <c r="CO35" i="2"/>
  <c r="CO39" i="2" s="1"/>
  <c r="CO41" i="2" s="1"/>
  <c r="CO32" i="2"/>
  <c r="CO33" i="2" s="1"/>
  <c r="CO49" i="2" s="1"/>
  <c r="CN20" i="2"/>
  <c r="CM44" i="2"/>
  <c r="CM45" i="2" s="1"/>
  <c r="CN51" i="2"/>
  <c r="CP7" i="2"/>
  <c r="CO5" i="2"/>
  <c r="CO6" i="2"/>
  <c r="CO36" i="2" l="1"/>
  <c r="CO40" i="2"/>
  <c r="CO42" i="2" s="1"/>
  <c r="CM46" i="2"/>
  <c r="CM47" i="2" s="1"/>
  <c r="CM50" i="2" s="1"/>
  <c r="CM52" i="2" s="1"/>
  <c r="CO20" i="2"/>
  <c r="CO51" i="2"/>
  <c r="CN44" i="2"/>
  <c r="CN45" i="2"/>
  <c r="CP35" i="2"/>
  <c r="CP39" i="2" s="1"/>
  <c r="CP41" i="2" s="1"/>
  <c r="CP15" i="2"/>
  <c r="CP13" i="2"/>
  <c r="CP19" i="2"/>
  <c r="CP12" i="2"/>
  <c r="CP14" i="2"/>
  <c r="CP17" i="2"/>
  <c r="CP34" i="2"/>
  <c r="CP38" i="2" s="1"/>
  <c r="CP40" i="2" s="1"/>
  <c r="CP32" i="2"/>
  <c r="CP33" i="2" s="1"/>
  <c r="CP49" i="2" s="1"/>
  <c r="CP16" i="2"/>
  <c r="CP18" i="2"/>
  <c r="CP51" i="2"/>
  <c r="CQ7" i="2"/>
  <c r="CP5" i="2"/>
  <c r="CP6" i="2"/>
  <c r="CP36" i="2" l="1"/>
  <c r="CP42" i="2"/>
  <c r="CN46" i="2"/>
  <c r="CN47" i="2" s="1"/>
  <c r="CN50" i="2" s="1"/>
  <c r="CN52" i="2" s="1"/>
  <c r="CP20" i="2"/>
  <c r="CO44" i="2"/>
  <c r="CO45" i="2" s="1"/>
  <c r="CQ32" i="2"/>
  <c r="CQ33" i="2" s="1"/>
  <c r="CQ34" i="2"/>
  <c r="CQ38" i="2" s="1"/>
  <c r="CQ19" i="2"/>
  <c r="CQ14" i="2"/>
  <c r="CQ49" i="2"/>
  <c r="CQ12" i="2"/>
  <c r="CQ15" i="2"/>
  <c r="CQ16" i="2"/>
  <c r="CQ18" i="2"/>
  <c r="CQ17" i="2"/>
  <c r="CQ13" i="2"/>
  <c r="CQ35" i="2"/>
  <c r="CQ39" i="2" s="1"/>
  <c r="CQ41" i="2" s="1"/>
  <c r="CQ51" i="2"/>
  <c r="CR7" i="2"/>
  <c r="CQ5" i="2"/>
  <c r="CQ6" i="2"/>
  <c r="CQ36" i="2" l="1"/>
  <c r="CQ40" i="2"/>
  <c r="CQ42" i="2" s="1"/>
  <c r="CO46" i="2"/>
  <c r="CO47" i="2" s="1"/>
  <c r="CO50" i="2" s="1"/>
  <c r="CO52" i="2" s="1"/>
  <c r="CQ20" i="2"/>
  <c r="CP44" i="2"/>
  <c r="CP45" i="2" s="1"/>
  <c r="CR35" i="2"/>
  <c r="CR39" i="2" s="1"/>
  <c r="CR41" i="2" s="1"/>
  <c r="CR34" i="2"/>
  <c r="CR38" i="2" s="1"/>
  <c r="CR12" i="2"/>
  <c r="CR17" i="2"/>
  <c r="F17" i="2" s="1"/>
  <c r="CR15" i="2"/>
  <c r="F15" i="2" s="1"/>
  <c r="CR13" i="2"/>
  <c r="F13" i="2" s="1"/>
  <c r="CR19" i="2"/>
  <c r="F19" i="2" s="1"/>
  <c r="CR14" i="2"/>
  <c r="F14" i="2" s="1"/>
  <c r="CR16" i="2"/>
  <c r="F16" i="2" s="1"/>
  <c r="CR32" i="2"/>
  <c r="CR33" i="2" s="1"/>
  <c r="CR49" i="2" s="1"/>
  <c r="CR18" i="2"/>
  <c r="F18" i="2" s="1"/>
  <c r="CR51" i="2"/>
  <c r="C57" i="2"/>
  <c r="CR5" i="2"/>
  <c r="CR6" i="2"/>
  <c r="CP46" i="2" l="1"/>
  <c r="CP47" i="2" s="1"/>
  <c r="CP50" i="2" s="1"/>
  <c r="CP52" i="2" s="1"/>
  <c r="CR36" i="2"/>
  <c r="CR40" i="2"/>
  <c r="CR42" i="2" s="1"/>
  <c r="CR20" i="2"/>
  <c r="F12" i="2"/>
  <c r="CQ44" i="2"/>
  <c r="CQ45" i="2" s="1"/>
  <c r="CQ46" i="2" s="1"/>
  <c r="F20" i="2" l="1"/>
  <c r="CQ47" i="2"/>
  <c r="CQ50" i="2" s="1"/>
  <c r="CQ52" i="2" s="1"/>
  <c r="CR44" i="2"/>
  <c r="CR45" i="2" s="1"/>
  <c r="CR46" i="2" l="1"/>
  <c r="CR47" i="2" s="1"/>
  <c r="CR50" i="2" s="1"/>
  <c r="C59" i="2" l="1"/>
  <c r="C60" i="2" s="1"/>
  <c r="CR52" i="2"/>
  <c r="C61" i="2" l="1"/>
  <c r="C62" i="2" s="1"/>
  <c r="M57" i="2" l="1"/>
  <c r="Y57" i="2"/>
  <c r="AK57" i="2"/>
  <c r="AW57" i="2"/>
  <c r="BI57" i="2"/>
  <c r="BU57" i="2"/>
  <c r="CG57" i="2"/>
  <c r="N57" i="2"/>
  <c r="Z57" i="2"/>
  <c r="AL57" i="2"/>
  <c r="AX57" i="2"/>
  <c r="BJ57" i="2"/>
  <c r="BV57" i="2"/>
  <c r="CH57" i="2"/>
  <c r="O57" i="2"/>
  <c r="AM57" i="2"/>
  <c r="AY57" i="2"/>
  <c r="BK57" i="2"/>
  <c r="BW57" i="2"/>
  <c r="P57" i="2"/>
  <c r="AZ57" i="2"/>
  <c r="BX57" i="2"/>
  <c r="BY57" i="2"/>
  <c r="AD57" i="2"/>
  <c r="BN57" i="2"/>
  <c r="S57" i="2"/>
  <c r="AE57" i="2"/>
  <c r="BC57" i="2"/>
  <c r="CA57" i="2"/>
  <c r="T57" i="2"/>
  <c r="AF57" i="2"/>
  <c r="BP57" i="2"/>
  <c r="U57" i="2"/>
  <c r="AS57" i="2"/>
  <c r="BQ57" i="2"/>
  <c r="CO57" i="2"/>
  <c r="J57" i="2"/>
  <c r="BF57" i="2"/>
  <c r="K57" i="2"/>
  <c r="AU57" i="2"/>
  <c r="CE57" i="2"/>
  <c r="AV57" i="2"/>
  <c r="BT57" i="2"/>
  <c r="BA57" i="2"/>
  <c r="R57" i="2"/>
  <c r="CL57" i="2"/>
  <c r="AQ57" i="2"/>
  <c r="CM57" i="2"/>
  <c r="AR57" i="2"/>
  <c r="CN57" i="2"/>
  <c r="I57" i="2"/>
  <c r="BE57" i="2"/>
  <c r="CC57" i="2"/>
  <c r="AH57" i="2"/>
  <c r="BR57" i="2"/>
  <c r="BG57" i="2"/>
  <c r="AJ57" i="2"/>
  <c r="CF57" i="2"/>
  <c r="AA57" i="2"/>
  <c r="CI57" i="2"/>
  <c r="AB57" i="2"/>
  <c r="AN57" i="2"/>
  <c r="BL57" i="2"/>
  <c r="CJ57" i="2"/>
  <c r="Q57" i="2"/>
  <c r="AC57" i="2"/>
  <c r="AO57" i="2"/>
  <c r="BM57" i="2"/>
  <c r="CK57" i="2"/>
  <c r="AP57" i="2"/>
  <c r="BB57" i="2"/>
  <c r="BZ57" i="2"/>
  <c r="G57" i="2"/>
  <c r="BO57" i="2"/>
  <c r="H57" i="2"/>
  <c r="BD57" i="2"/>
  <c r="CB57" i="2"/>
  <c r="AT57" i="2"/>
  <c r="CP57" i="2"/>
  <c r="W57" i="2"/>
  <c r="BS57" i="2"/>
  <c r="L57" i="2"/>
  <c r="BH57" i="2"/>
  <c r="AG57" i="2"/>
  <c r="V57" i="2"/>
  <c r="CD57" i="2"/>
  <c r="AI57" i="2"/>
  <c r="CQ57" i="2"/>
  <c r="X57" i="2"/>
  <c r="CR57" i="2"/>
  <c r="BB66" i="2" l="1"/>
  <c r="AG66" i="2"/>
  <c r="CM66" i="2"/>
  <c r="BJ66" i="2"/>
  <c r="AQ66" i="2"/>
  <c r="BY66" i="2"/>
  <c r="L66" i="2"/>
  <c r="CL66" i="2"/>
  <c r="AL66" i="2"/>
  <c r="AJ66" i="2"/>
  <c r="AZ66" i="2"/>
  <c r="BM66" i="2"/>
  <c r="BP66" i="2"/>
  <c r="AO66" i="2"/>
  <c r="CG66" i="2"/>
  <c r="AT66" i="2"/>
  <c r="AV66" i="2"/>
  <c r="BU66" i="2"/>
  <c r="CB66" i="2"/>
  <c r="CE66" i="2"/>
  <c r="BI66" i="2"/>
  <c r="CJ66" i="2"/>
  <c r="AU66" i="2"/>
  <c r="AM66" i="2"/>
  <c r="AI66" i="2"/>
  <c r="H66" i="2"/>
  <c r="BL66" i="2"/>
  <c r="I66" i="2"/>
  <c r="K66" i="2"/>
  <c r="AE66" i="2"/>
  <c r="O66" i="2"/>
  <c r="AK66" i="2"/>
  <c r="CI66" i="2"/>
  <c r="AD66" i="2"/>
  <c r="AA66" i="2"/>
  <c r="AX66" i="2"/>
  <c r="CF66" i="2"/>
  <c r="AS66" i="2"/>
  <c r="BS66" i="2"/>
  <c r="R66" i="2"/>
  <c r="Z66" i="2"/>
  <c r="BG66" i="2"/>
  <c r="N66" i="2"/>
  <c r="CP66" i="2"/>
  <c r="BT66" i="2"/>
  <c r="AF66" i="2"/>
  <c r="CR66" i="2"/>
  <c r="AC66" i="2"/>
  <c r="T66" i="2"/>
  <c r="X66" i="2"/>
  <c r="CC66" i="2"/>
  <c r="AY66" i="2"/>
  <c r="BD66" i="2"/>
  <c r="AW66" i="2"/>
  <c r="CD66" i="2"/>
  <c r="BO66" i="2"/>
  <c r="AN66" i="2"/>
  <c r="CN66" i="2"/>
  <c r="BF66" i="2"/>
  <c r="S66" i="2"/>
  <c r="CH66" i="2"/>
  <c r="Y66" i="2"/>
  <c r="BZ66" i="2"/>
  <c r="CO66" i="2"/>
  <c r="BH66" i="2"/>
  <c r="BQ66" i="2"/>
  <c r="AP66" i="2"/>
  <c r="BX66" i="2"/>
  <c r="CK66" i="2"/>
  <c r="U66" i="2"/>
  <c r="W66" i="2"/>
  <c r="BA66" i="2"/>
  <c r="P66" i="2"/>
  <c r="BR66" i="2"/>
  <c r="BW66" i="2"/>
  <c r="AH66" i="2"/>
  <c r="BK66" i="2"/>
  <c r="Q66" i="2"/>
  <c r="CA66" i="2"/>
  <c r="CQ66" i="2"/>
  <c r="BE66" i="2"/>
  <c r="BC66" i="2"/>
  <c r="V66" i="2"/>
  <c r="G66" i="2"/>
  <c r="AB66" i="2"/>
  <c r="AR66" i="2"/>
  <c r="J66" i="2"/>
  <c r="BN66" i="2"/>
  <c r="BV66" i="2"/>
  <c r="M66" i="2"/>
  <c r="C67" i="2" l="1"/>
  <c r="C70" i="2"/>
  <c r="C69" i="2"/>
  <c r="C71" i="2" l="1"/>
  <c r="C68" i="2"/>
  <c r="C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74" i="2"/>
  <c r="C75" i="2"/>
  <c r="C76" i="2"/>
  <c r="C77" i="2"/>
  <c r="C78" i="2"/>
  <c r="D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D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D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110" i="2"/>
  <c r="C111" i="2"/>
  <c r="C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118" i="2"/>
  <c r="C119" i="2"/>
</calcChain>
</file>

<file path=xl/sharedStrings.xml><?xml version="1.0" encoding="utf-8"?>
<sst xmlns="http://schemas.openxmlformats.org/spreadsheetml/2006/main" count="152" uniqueCount="139">
  <si>
    <t>All inputs below should be flexible assumptions</t>
  </si>
  <si>
    <t>Development program</t>
  </si>
  <si>
    <t>200,000 SF Office building</t>
  </si>
  <si>
    <t>Land purchase price : $20M ($100 per FAR)</t>
  </si>
  <si>
    <t>Closing costs : 1% of purchase price</t>
  </si>
  <si>
    <t>Hard costs : $300 psf</t>
  </si>
  <si>
    <t>LC's : $18 psf - paid six months before tenant occupancy</t>
  </si>
  <si>
    <t>Soft costs (excluding TI's, LC's and Debt): 15% of hard costs</t>
  </si>
  <si>
    <t>Construction &amp; Lease up</t>
  </si>
  <si>
    <t>24 month Construction period, beginning at land close date</t>
  </si>
  <si>
    <t>Costs Spent evenly over construction period</t>
  </si>
  <si>
    <t>2 Tenant Lease-up of equal size ( one tenant at construction completion; one 6 months after completion)</t>
  </si>
  <si>
    <t>Lease up to 95%</t>
  </si>
  <si>
    <t>Rent $4.25 NNN</t>
  </si>
  <si>
    <t>Free Rent : 3 months free</t>
  </si>
  <si>
    <t>Annual rental bumps: 3%</t>
  </si>
  <si>
    <t>Annual operating expenses during lease-up : $16 psf</t>
  </si>
  <si>
    <t>Debt Assumptions</t>
  </si>
  <si>
    <t>60% LTC</t>
  </si>
  <si>
    <t>Rate : 5% all-in-interest rate</t>
  </si>
  <si>
    <t>All equity drawn first; then debt</t>
  </si>
  <si>
    <t>Use available cash flow to Offset debt cost, as available</t>
  </si>
  <si>
    <t>Hold Period</t>
  </si>
  <si>
    <t>5 years after stabilization</t>
  </si>
  <si>
    <t>Exit Cap Rate : 5.5%</t>
  </si>
  <si>
    <t>Transaction Fees : 1.5%</t>
  </si>
  <si>
    <t>Joint Venture Structure</t>
  </si>
  <si>
    <t>LP invests 95% of required equity/ GP invests 5%</t>
  </si>
  <si>
    <t>All cash flows are distributed 95/5 until the LP has achieved a 12% IRR</t>
  </si>
  <si>
    <t>Any excess cash flow thereafter is distributed 20% to the GP and 80% to the LP</t>
  </si>
  <si>
    <t>Required Output</t>
  </si>
  <si>
    <t>Required Project Equity, Net profit, IRR and ROC</t>
  </si>
  <si>
    <t>Required LP (after promote) Equity, Net Profit, IRR and ROC</t>
  </si>
  <si>
    <t>TI's : $60 psf - paid at tenant occupancy</t>
  </si>
  <si>
    <t>Analysis Year</t>
  </si>
  <si>
    <t>Analysis Date</t>
  </si>
  <si>
    <t>Analysis Month</t>
  </si>
  <si>
    <t>Analysis start</t>
  </si>
  <si>
    <t xml:space="preserve">Breakeven </t>
  </si>
  <si>
    <t>NRA</t>
  </si>
  <si>
    <t>Development</t>
  </si>
  <si>
    <t>Land</t>
  </si>
  <si>
    <t>Financing costs</t>
  </si>
  <si>
    <t>Hard costs</t>
  </si>
  <si>
    <t>soft costs</t>
  </si>
  <si>
    <t>TI 1</t>
  </si>
  <si>
    <t>TI 2</t>
  </si>
  <si>
    <t>LC's 1</t>
  </si>
  <si>
    <t>Total before interest</t>
  </si>
  <si>
    <t>Const Interest</t>
  </si>
  <si>
    <t>Total project Costs</t>
  </si>
  <si>
    <t>Amount</t>
  </si>
  <si>
    <t>End</t>
  </si>
  <si>
    <t>Start</t>
  </si>
  <si>
    <t>Error Check</t>
  </si>
  <si>
    <t>Sources and Uses</t>
  </si>
  <si>
    <t>Loan</t>
  </si>
  <si>
    <t>Equity</t>
  </si>
  <si>
    <t>Total sources</t>
  </si>
  <si>
    <t>Loan Balance</t>
  </si>
  <si>
    <t>LTC</t>
  </si>
  <si>
    <t>Ann. Rate</t>
  </si>
  <si>
    <t>Error check</t>
  </si>
  <si>
    <t>Operations</t>
  </si>
  <si>
    <t>Operation Month</t>
  </si>
  <si>
    <t>Operation Year</t>
  </si>
  <si>
    <t>Tenant #1 Lease Year</t>
  </si>
  <si>
    <t>Tenant #2 Lease Year</t>
  </si>
  <si>
    <t>Occupancy</t>
  </si>
  <si>
    <t>Rental Income</t>
  </si>
  <si>
    <t>Tenant # 1</t>
  </si>
  <si>
    <t>Tenant # 2</t>
  </si>
  <si>
    <t>Free Rent # 1</t>
  </si>
  <si>
    <t>Free Rent # 2</t>
  </si>
  <si>
    <t>Total Rental Income</t>
  </si>
  <si>
    <t>Operation Begin</t>
  </si>
  <si>
    <t>Start Month</t>
  </si>
  <si>
    <t>Ann Start Rent</t>
  </si>
  <si>
    <t>Ann. Inc %</t>
  </si>
  <si>
    <t>SF</t>
  </si>
  <si>
    <t>Other Income</t>
  </si>
  <si>
    <t>Expense Recovery</t>
  </si>
  <si>
    <t>Potential Gross Income</t>
  </si>
  <si>
    <t>General Vacancy</t>
  </si>
  <si>
    <t>Effective Gross Income</t>
  </si>
  <si>
    <t>Operating Expense</t>
  </si>
  <si>
    <t>Net Operating Income</t>
  </si>
  <si>
    <t>Capital Reserve</t>
  </si>
  <si>
    <t>Cash Flow from Operations</t>
  </si>
  <si>
    <t>Cash Flow  after Financing</t>
  </si>
  <si>
    <t>Debt Service ( only interest)</t>
  </si>
  <si>
    <t>Terminal Value</t>
  </si>
  <si>
    <t>Terminal month</t>
  </si>
  <si>
    <t>Terminal Cap rate</t>
  </si>
  <si>
    <t>Terminal NOI</t>
  </si>
  <si>
    <t>Gross Terminal Value</t>
  </si>
  <si>
    <t>Selling costs</t>
  </si>
  <si>
    <t>Net Terminal value</t>
  </si>
  <si>
    <t>Net Terminal Value</t>
  </si>
  <si>
    <t>Loan payoff</t>
  </si>
  <si>
    <t>Net proceeds from sale</t>
  </si>
  <si>
    <t>Property level cash flow</t>
  </si>
  <si>
    <t>Unlevered cash flow</t>
  </si>
  <si>
    <t>unlevered IRR</t>
  </si>
  <si>
    <t>Unlevered Emx</t>
  </si>
  <si>
    <t>Contributions</t>
  </si>
  <si>
    <t>Distributions</t>
  </si>
  <si>
    <t>Net profit</t>
  </si>
  <si>
    <t>levered cash flow</t>
  </si>
  <si>
    <t>levered IRR</t>
  </si>
  <si>
    <t>levered Emx</t>
  </si>
  <si>
    <t>Partnership-level cash flows</t>
  </si>
  <si>
    <t>LP contributions</t>
  </si>
  <si>
    <t>GP contributions</t>
  </si>
  <si>
    <t>Total Contributions</t>
  </si>
  <si>
    <t>% share</t>
  </si>
  <si>
    <t>Preferred Return + Return of Capital</t>
  </si>
  <si>
    <t>LP Capital Account (Beginning Balance)</t>
  </si>
  <si>
    <t>LP Required Return</t>
  </si>
  <si>
    <t>LP Contributions</t>
  </si>
  <si>
    <t>LP Distributions</t>
  </si>
  <si>
    <t>LP Capital Account (Ending  Balance)</t>
  </si>
  <si>
    <t>LP Cash Flow</t>
  </si>
  <si>
    <t>GP Contributions</t>
  </si>
  <si>
    <t>GP Distributions</t>
  </si>
  <si>
    <t>GP Cash Flow</t>
  </si>
  <si>
    <t>Promoted Interest</t>
  </si>
  <si>
    <t>Remaining Distributable cash flow</t>
  </si>
  <si>
    <t>LP Distribution</t>
  </si>
  <si>
    <t>GP Distribution</t>
  </si>
  <si>
    <t>LP Net Cash Flow</t>
  </si>
  <si>
    <t>LP IRR</t>
  </si>
  <si>
    <t>LP Emx</t>
  </si>
  <si>
    <t>GP Net Cash Flow</t>
  </si>
  <si>
    <t>GP IRR</t>
  </si>
  <si>
    <t>GP Emx</t>
  </si>
  <si>
    <t>LC's2</t>
  </si>
  <si>
    <t>Equity Share</t>
  </si>
  <si>
    <t>Real Estate Development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</si>
</sst>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64" formatCode="&quot;Month&quot;\ 0"/>
    <numFmt numFmtId="165" formatCode="&quot;Year&quot;\ 0"/>
    <numFmt numFmtId="166" formatCode="0\ &quot;sf&quot;"/>
    <numFmt numFmtId="167" formatCode="&quot;Start MO :&quot;\ 0"/>
    <numFmt numFmtId="168" formatCode="&quot;Start Mo :&quot;\ 0"/>
    <numFmt numFmtId="169" formatCode="&quot;End Mo :&quot;\ 0"/>
    <numFmt numFmtId="170" formatCode="0.00\x"/>
    <numFmt numFmtId="171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43" fontId="0" fillId="0" borderId="0" xfId="1" applyFont="1" applyAlignment="1">
      <alignment horizontal="left" indent="3"/>
    </xf>
    <xf numFmtId="43" fontId="0" fillId="0" borderId="0" xfId="0" applyNumberFormat="1"/>
    <xf numFmtId="9" fontId="0" fillId="0" borderId="0" xfId="0" applyNumberFormat="1"/>
    <xf numFmtId="165" fontId="0" fillId="2" borderId="1" xfId="0" applyNumberFormat="1" applyFill="1" applyBorder="1"/>
    <xf numFmtId="15" fontId="0" fillId="2" borderId="1" xfId="0" applyNumberFormat="1" applyFill="1" applyBorder="1"/>
    <xf numFmtId="164" fontId="0" fillId="2" borderId="1" xfId="0" applyNumberFormat="1" applyFill="1" applyBorder="1"/>
    <xf numFmtId="0" fontId="2" fillId="2" borderId="0" xfId="0" applyFont="1" applyFill="1"/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0" applyNumberFormat="1" applyFill="1" applyBorder="1"/>
    <xf numFmtId="10" fontId="0" fillId="0" borderId="1" xfId="0" applyNumberFormat="1" applyBorder="1"/>
    <xf numFmtId="1" fontId="0" fillId="3" borderId="1" xfId="0" applyNumberFormat="1" applyFill="1" applyBorder="1"/>
    <xf numFmtId="0" fontId="0" fillId="4" borderId="0" xfId="0" applyFill="1"/>
    <xf numFmtId="0" fontId="2" fillId="4" borderId="0" xfId="0" applyFont="1" applyFill="1"/>
    <xf numFmtId="0" fontId="0" fillId="3" borderId="2" xfId="0" applyFill="1" applyBorder="1"/>
    <xf numFmtId="41" fontId="0" fillId="0" borderId="1" xfId="0" applyNumberFormat="1" applyBorder="1"/>
    <xf numFmtId="41" fontId="0" fillId="0" borderId="1" xfId="2" applyNumberFormat="1" applyFont="1" applyBorder="1"/>
    <xf numFmtId="0" fontId="0" fillId="0" borderId="1" xfId="0" applyBorder="1" applyAlignment="1">
      <alignment horizontal="left" indent="2"/>
    </xf>
    <xf numFmtId="41" fontId="2" fillId="0" borderId="1" xfId="0" applyNumberFormat="1" applyFont="1" applyBorder="1"/>
    <xf numFmtId="43" fontId="2" fillId="0" borderId="0" xfId="0" applyNumberFormat="1" applyFont="1"/>
    <xf numFmtId="41" fontId="2" fillId="0" borderId="3" xfId="0" applyNumberFormat="1" applyFont="1" applyBorder="1"/>
    <xf numFmtId="0" fontId="0" fillId="3" borderId="4" xfId="0" applyFill="1" applyBorder="1"/>
    <xf numFmtId="38" fontId="0" fillId="0" borderId="0" xfId="0" applyNumberFormat="1"/>
    <xf numFmtId="1" fontId="0" fillId="0" borderId="0" xfId="0" applyNumberFormat="1"/>
    <xf numFmtId="41" fontId="0" fillId="0" borderId="4" xfId="0" applyNumberFormat="1" applyBorder="1"/>
    <xf numFmtId="41" fontId="0" fillId="0" borderId="0" xfId="0" applyNumberFormat="1"/>
    <xf numFmtId="41" fontId="0" fillId="0" borderId="3" xfId="0" applyNumberFormat="1" applyBorder="1"/>
    <xf numFmtId="41" fontId="0" fillId="0" borderId="5" xfId="0" applyNumberFormat="1" applyBorder="1"/>
    <xf numFmtId="41" fontId="0" fillId="0" borderId="5" xfId="2" applyNumberFormat="1" applyFont="1" applyBorder="1"/>
    <xf numFmtId="0" fontId="0" fillId="5" borderId="0" xfId="0" applyFill="1"/>
    <xf numFmtId="41" fontId="0" fillId="5" borderId="0" xfId="0" applyNumberFormat="1" applyFill="1"/>
    <xf numFmtId="0" fontId="2" fillId="5" borderId="0" xfId="0" applyFont="1" applyFill="1"/>
    <xf numFmtId="41" fontId="2" fillId="5" borderId="0" xfId="0" applyNumberFormat="1" applyFont="1" applyFill="1"/>
    <xf numFmtId="0" fontId="2" fillId="3" borderId="6" xfId="0" applyFont="1" applyFill="1" applyBorder="1"/>
    <xf numFmtId="10" fontId="2" fillId="0" borderId="0" xfId="2" applyNumberFormat="1" applyFont="1"/>
    <xf numFmtId="171" fontId="0" fillId="3" borderId="1" xfId="0" applyNumberFormat="1" applyFill="1" applyBorder="1"/>
    <xf numFmtId="9" fontId="0" fillId="3" borderId="5" xfId="0" applyNumberFormat="1" applyFill="1" applyBorder="1"/>
    <xf numFmtId="170" fontId="0" fillId="0" borderId="1" xfId="0" applyNumberFormat="1" applyBorder="1"/>
    <xf numFmtId="0" fontId="0" fillId="3" borderId="1" xfId="0" applyFill="1" applyBorder="1" applyAlignment="1">
      <alignment horizontal="left" indent="2"/>
    </xf>
    <xf numFmtId="41" fontId="0" fillId="3" borderId="1" xfId="0" applyNumberFormat="1" applyFill="1" applyBorder="1"/>
    <xf numFmtId="41" fontId="2" fillId="3" borderId="1" xfId="0" applyNumberFormat="1" applyFont="1" applyFill="1" applyBorder="1"/>
    <xf numFmtId="9" fontId="0" fillId="3" borderId="1" xfId="2" applyFont="1" applyFill="1" applyBorder="1"/>
    <xf numFmtId="170" fontId="0" fillId="3" borderId="1" xfId="0" applyNumberFormat="1" applyFill="1" applyBorder="1"/>
    <xf numFmtId="9" fontId="2" fillId="0" borderId="1" xfId="0" applyNumberFormat="1" applyFont="1" applyBorder="1"/>
    <xf numFmtId="0" fontId="2" fillId="0" borderId="1" xfId="0" applyFont="1" applyBorder="1" applyAlignment="1">
      <alignment horizontal="left" indent="2"/>
    </xf>
    <xf numFmtId="0" fontId="2" fillId="0" borderId="1" xfId="0" applyFont="1" applyBorder="1"/>
    <xf numFmtId="10" fontId="2" fillId="0" borderId="1" xfId="0" applyNumberFormat="1" applyFont="1" applyBorder="1"/>
    <xf numFmtId="10" fontId="0" fillId="0" borderId="1" xfId="2" applyNumberFormat="1" applyFont="1" applyBorder="1"/>
    <xf numFmtId="164" fontId="2" fillId="0" borderId="1" xfId="0" applyNumberFormat="1" applyFont="1" applyBorder="1"/>
    <xf numFmtId="164" fontId="0" fillId="3" borderId="5" xfId="0" applyNumberFormat="1" applyFill="1" applyBorder="1"/>
    <xf numFmtId="0" fontId="0" fillId="3" borderId="5" xfId="0" applyFill="1" applyBorder="1"/>
    <xf numFmtId="38" fontId="0" fillId="0" borderId="1" xfId="1" applyNumberFormat="1" applyFont="1" applyBorder="1"/>
    <xf numFmtId="38" fontId="0" fillId="0" borderId="1" xfId="0" applyNumberFormat="1" applyBorder="1"/>
    <xf numFmtId="38" fontId="2" fillId="0" borderId="1" xfId="0" applyNumberFormat="1" applyFont="1" applyBorder="1"/>
    <xf numFmtId="164" fontId="4" fillId="2" borderId="1" xfId="0" applyNumberFormat="1" applyFont="1" applyFill="1" applyBorder="1"/>
    <xf numFmtId="166" fontId="4" fillId="3" borderId="1" xfId="0" applyNumberFormat="1" applyFont="1" applyFill="1" applyBorder="1"/>
    <xf numFmtId="164" fontId="4" fillId="3" borderId="1" xfId="0" applyNumberFormat="1" applyFont="1" applyFill="1" applyBorder="1"/>
    <xf numFmtId="15" fontId="4" fillId="3" borderId="1" xfId="0" applyNumberFormat="1" applyFont="1" applyFill="1" applyBorder="1"/>
    <xf numFmtId="38" fontId="4" fillId="0" borderId="1" xfId="1" applyNumberFormat="1" applyFont="1" applyBorder="1"/>
    <xf numFmtId="164" fontId="4" fillId="3" borderId="5" xfId="0" applyNumberFormat="1" applyFont="1" applyFill="1" applyBorder="1"/>
    <xf numFmtId="9" fontId="4" fillId="3" borderId="5" xfId="0" applyNumberFormat="1" applyFont="1" applyFill="1" applyBorder="1"/>
    <xf numFmtId="9" fontId="4" fillId="3" borderId="1" xfId="0" applyNumberFormat="1" applyFont="1" applyFill="1" applyBorder="1"/>
    <xf numFmtId="10" fontId="4" fillId="3" borderId="2" xfId="0" applyNumberFormat="1" applyFont="1" applyFill="1" applyBorder="1"/>
    <xf numFmtId="168" fontId="4" fillId="3" borderId="5" xfId="0" applyNumberFormat="1" applyFont="1" applyFill="1" applyBorder="1"/>
    <xf numFmtId="169" fontId="4" fillId="3" borderId="1" xfId="0" applyNumberFormat="1" applyFont="1" applyFill="1" applyBorder="1"/>
    <xf numFmtId="167" fontId="4" fillId="3" borderId="5" xfId="0" applyNumberFormat="1" applyFont="1" applyFill="1" applyBorder="1"/>
    <xf numFmtId="9" fontId="4" fillId="0" borderId="0" xfId="0" applyNumberFormat="1" applyFont="1"/>
    <xf numFmtId="10" fontId="4" fillId="0" borderId="0" xfId="0" applyNumberFormat="1" applyFont="1"/>
    <xf numFmtId="10" fontId="4" fillId="3" borderId="1" xfId="0" applyNumberFormat="1" applyFont="1" applyFill="1" applyBorder="1"/>
    <xf numFmtId="0" fontId="4" fillId="3" borderId="1" xfId="0" applyFont="1" applyFill="1" applyBorder="1"/>
    <xf numFmtId="10" fontId="4" fillId="0" borderId="1" xfId="0" applyNumberFormat="1" applyFont="1" applyBorder="1"/>
    <xf numFmtId="9" fontId="5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7B78-4606-4183-B882-DFEA4F0D8876}">
  <dimension ref="A1:L65"/>
  <sheetViews>
    <sheetView showGridLines="0" topLeftCell="B1" workbookViewId="0">
      <selection activeCell="K7" sqref="K7"/>
    </sheetView>
  </sheetViews>
  <sheetFormatPr defaultColWidth="0" defaultRowHeight="14.4" zeroHeight="1" x14ac:dyDescent="0.3"/>
  <cols>
    <col min="1" max="12" width="8.88671875" customWidth="1"/>
    <col min="13" max="16384" width="8.88671875" hidden="1"/>
  </cols>
  <sheetData>
    <row r="1" spans="2:2" x14ac:dyDescent="0.3"/>
    <row r="2" spans="2:2" x14ac:dyDescent="0.3"/>
    <row r="3" spans="2:2" x14ac:dyDescent="0.3">
      <c r="B3" s="1" t="s">
        <v>138</v>
      </c>
    </row>
    <row r="4" spans="2:2" x14ac:dyDescent="0.3"/>
    <row r="5" spans="2:2" x14ac:dyDescent="0.3">
      <c r="B5" s="2" t="s">
        <v>0</v>
      </c>
    </row>
    <row r="6" spans="2:2" x14ac:dyDescent="0.3"/>
    <row r="7" spans="2:2" x14ac:dyDescent="0.3">
      <c r="B7" s="1" t="s">
        <v>1</v>
      </c>
    </row>
    <row r="8" spans="2:2" x14ac:dyDescent="0.3">
      <c r="B8" s="3" t="s">
        <v>2</v>
      </c>
    </row>
    <row r="9" spans="2:2" x14ac:dyDescent="0.3">
      <c r="B9" s="3" t="s">
        <v>3</v>
      </c>
    </row>
    <row r="10" spans="2:2" x14ac:dyDescent="0.3">
      <c r="B10" s="3" t="s">
        <v>4</v>
      </c>
    </row>
    <row r="11" spans="2:2" x14ac:dyDescent="0.3">
      <c r="B11" s="3" t="s">
        <v>5</v>
      </c>
    </row>
    <row r="12" spans="2:2" x14ac:dyDescent="0.3">
      <c r="B12" s="3" t="s">
        <v>7</v>
      </c>
    </row>
    <row r="13" spans="2:2" x14ac:dyDescent="0.3">
      <c r="B13" s="3" t="s">
        <v>33</v>
      </c>
    </row>
    <row r="14" spans="2:2" x14ac:dyDescent="0.3">
      <c r="B14" s="3" t="s">
        <v>6</v>
      </c>
    </row>
    <row r="15" spans="2:2" x14ac:dyDescent="0.3"/>
    <row r="16" spans="2:2" x14ac:dyDescent="0.3">
      <c r="B16" s="1" t="s">
        <v>8</v>
      </c>
    </row>
    <row r="17" spans="2:2" x14ac:dyDescent="0.3">
      <c r="B17" s="3" t="s">
        <v>9</v>
      </c>
    </row>
    <row r="18" spans="2:2" x14ac:dyDescent="0.3">
      <c r="B18" s="3" t="s">
        <v>10</v>
      </c>
    </row>
    <row r="19" spans="2:2" x14ac:dyDescent="0.3">
      <c r="B19" s="3" t="s">
        <v>11</v>
      </c>
    </row>
    <row r="20" spans="2:2" x14ac:dyDescent="0.3">
      <c r="B20" s="3" t="s">
        <v>12</v>
      </c>
    </row>
    <row r="21" spans="2:2" x14ac:dyDescent="0.3">
      <c r="B21" s="3" t="s">
        <v>13</v>
      </c>
    </row>
    <row r="22" spans="2:2" x14ac:dyDescent="0.3">
      <c r="B22" s="3" t="s">
        <v>14</v>
      </c>
    </row>
    <row r="23" spans="2:2" x14ac:dyDescent="0.3">
      <c r="B23" s="3" t="s">
        <v>15</v>
      </c>
    </row>
    <row r="24" spans="2:2" x14ac:dyDescent="0.3">
      <c r="B24" s="3" t="s">
        <v>16</v>
      </c>
    </row>
    <row r="25" spans="2:2" x14ac:dyDescent="0.3"/>
    <row r="26" spans="2:2" x14ac:dyDescent="0.3">
      <c r="B26" s="1" t="s">
        <v>17</v>
      </c>
    </row>
    <row r="27" spans="2:2" x14ac:dyDescent="0.3">
      <c r="B27" s="3" t="s">
        <v>18</v>
      </c>
    </row>
    <row r="28" spans="2:2" x14ac:dyDescent="0.3">
      <c r="B28" s="3" t="s">
        <v>19</v>
      </c>
    </row>
    <row r="29" spans="2:2" x14ac:dyDescent="0.3">
      <c r="B29" s="3" t="s">
        <v>20</v>
      </c>
    </row>
    <row r="30" spans="2:2" x14ac:dyDescent="0.3">
      <c r="B30" s="3" t="s">
        <v>21</v>
      </c>
    </row>
    <row r="31" spans="2:2" x14ac:dyDescent="0.3"/>
    <row r="32" spans="2:2" x14ac:dyDescent="0.3">
      <c r="B32" s="1" t="s">
        <v>22</v>
      </c>
    </row>
    <row r="33" spans="2:2" x14ac:dyDescent="0.3">
      <c r="B33" s="3" t="s">
        <v>23</v>
      </c>
    </row>
    <row r="34" spans="2:2" x14ac:dyDescent="0.3">
      <c r="B34" s="3" t="s">
        <v>24</v>
      </c>
    </row>
    <row r="35" spans="2:2" x14ac:dyDescent="0.3">
      <c r="B35" s="3" t="s">
        <v>25</v>
      </c>
    </row>
    <row r="36" spans="2:2" x14ac:dyDescent="0.3"/>
    <row r="37" spans="2:2" x14ac:dyDescent="0.3">
      <c r="B37" s="1" t="s">
        <v>26</v>
      </c>
    </row>
    <row r="38" spans="2:2" x14ac:dyDescent="0.3">
      <c r="B38" s="3" t="s">
        <v>27</v>
      </c>
    </row>
    <row r="39" spans="2:2" x14ac:dyDescent="0.3">
      <c r="B39" s="3" t="s">
        <v>28</v>
      </c>
    </row>
    <row r="40" spans="2:2" x14ac:dyDescent="0.3">
      <c r="B40" s="3" t="s">
        <v>29</v>
      </c>
    </row>
    <row r="41" spans="2:2" x14ac:dyDescent="0.3"/>
    <row r="42" spans="2:2" x14ac:dyDescent="0.3">
      <c r="B42" s="1" t="s">
        <v>30</v>
      </c>
    </row>
    <row r="43" spans="2:2" x14ac:dyDescent="0.3">
      <c r="B43" s="3" t="s">
        <v>31</v>
      </c>
    </row>
    <row r="44" spans="2:2" x14ac:dyDescent="0.3">
      <c r="B44" s="3" t="s">
        <v>32</v>
      </c>
    </row>
    <row r="45" spans="2:2" x14ac:dyDescent="0.3"/>
    <row r="46" spans="2:2" x14ac:dyDescent="0.3"/>
    <row r="47" spans="2:2" x14ac:dyDescent="0.3"/>
    <row r="48" spans="2:2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199D-CD59-41F4-AA4F-2943E9ACF2FD}">
  <dimension ref="A5:CS119"/>
  <sheetViews>
    <sheetView showGridLines="0" tabSelected="1" zoomScale="40" zoomScaleNormal="40" workbookViewId="0">
      <selection activeCell="B3" sqref="B3"/>
    </sheetView>
  </sheetViews>
  <sheetFormatPr defaultColWidth="0" defaultRowHeight="14.4" x14ac:dyDescent="0.3"/>
  <cols>
    <col min="1" max="1" width="8.88671875" customWidth="1"/>
    <col min="2" max="2" width="32.6640625" bestFit="1" customWidth="1"/>
    <col min="3" max="3" width="12.6640625" bestFit="1" customWidth="1"/>
    <col min="4" max="4" width="14.44140625" bestFit="1" customWidth="1"/>
    <col min="5" max="5" width="11.5546875" bestFit="1" customWidth="1"/>
    <col min="6" max="6" width="19.77734375" bestFit="1" customWidth="1"/>
    <col min="7" max="7" width="12" bestFit="1" customWidth="1"/>
    <col min="8" max="95" width="11.33203125" bestFit="1" customWidth="1"/>
    <col min="96" max="96" width="12.33203125" bestFit="1" customWidth="1"/>
    <col min="97" max="97" width="8.88671875" hidden="1" customWidth="1"/>
    <col min="98" max="16384" width="8.88671875" hidden="1"/>
  </cols>
  <sheetData>
    <row r="5" spans="2:96" x14ac:dyDescent="0.3">
      <c r="F5" s="9" t="s">
        <v>34</v>
      </c>
      <c r="G5" s="6">
        <f>ROUNDUP(G7/12,0)</f>
        <v>1</v>
      </c>
      <c r="H5" s="6">
        <f t="shared" ref="H5:BS5" si="0">ROUNDUP(H7/12,0)</f>
        <v>1</v>
      </c>
      <c r="I5" s="6">
        <f t="shared" si="0"/>
        <v>1</v>
      </c>
      <c r="J5" s="6">
        <f t="shared" si="0"/>
        <v>1</v>
      </c>
      <c r="K5" s="6">
        <f t="shared" si="0"/>
        <v>1</v>
      </c>
      <c r="L5" s="6">
        <f t="shared" si="0"/>
        <v>1</v>
      </c>
      <c r="M5" s="6">
        <f t="shared" si="0"/>
        <v>1</v>
      </c>
      <c r="N5" s="6">
        <f t="shared" si="0"/>
        <v>1</v>
      </c>
      <c r="O5" s="6">
        <f t="shared" si="0"/>
        <v>1</v>
      </c>
      <c r="P5" s="6">
        <f t="shared" si="0"/>
        <v>1</v>
      </c>
      <c r="Q5" s="6">
        <f t="shared" si="0"/>
        <v>1</v>
      </c>
      <c r="R5" s="6">
        <f t="shared" si="0"/>
        <v>1</v>
      </c>
      <c r="S5" s="6">
        <f t="shared" si="0"/>
        <v>2</v>
      </c>
      <c r="T5" s="6">
        <f t="shared" si="0"/>
        <v>2</v>
      </c>
      <c r="U5" s="6">
        <f t="shared" si="0"/>
        <v>2</v>
      </c>
      <c r="V5" s="6">
        <f t="shared" si="0"/>
        <v>2</v>
      </c>
      <c r="W5" s="6">
        <f t="shared" si="0"/>
        <v>2</v>
      </c>
      <c r="X5" s="6">
        <f t="shared" si="0"/>
        <v>2</v>
      </c>
      <c r="Y5" s="6">
        <f t="shared" si="0"/>
        <v>2</v>
      </c>
      <c r="Z5" s="6">
        <f t="shared" si="0"/>
        <v>2</v>
      </c>
      <c r="AA5" s="6">
        <f t="shared" si="0"/>
        <v>2</v>
      </c>
      <c r="AB5" s="6">
        <f t="shared" si="0"/>
        <v>2</v>
      </c>
      <c r="AC5" s="6">
        <f t="shared" si="0"/>
        <v>2</v>
      </c>
      <c r="AD5" s="6">
        <f t="shared" si="0"/>
        <v>2</v>
      </c>
      <c r="AE5" s="6">
        <f t="shared" si="0"/>
        <v>3</v>
      </c>
      <c r="AF5" s="6">
        <f t="shared" si="0"/>
        <v>3</v>
      </c>
      <c r="AG5" s="6">
        <f t="shared" si="0"/>
        <v>3</v>
      </c>
      <c r="AH5" s="6">
        <f t="shared" si="0"/>
        <v>3</v>
      </c>
      <c r="AI5" s="6">
        <f t="shared" si="0"/>
        <v>3</v>
      </c>
      <c r="AJ5" s="6">
        <f t="shared" si="0"/>
        <v>3</v>
      </c>
      <c r="AK5" s="6">
        <f t="shared" si="0"/>
        <v>3</v>
      </c>
      <c r="AL5" s="6">
        <f t="shared" si="0"/>
        <v>3</v>
      </c>
      <c r="AM5" s="6">
        <f t="shared" si="0"/>
        <v>3</v>
      </c>
      <c r="AN5" s="6">
        <f t="shared" si="0"/>
        <v>3</v>
      </c>
      <c r="AO5" s="6">
        <f t="shared" si="0"/>
        <v>3</v>
      </c>
      <c r="AP5" s="6">
        <f t="shared" si="0"/>
        <v>3</v>
      </c>
      <c r="AQ5" s="6">
        <f t="shared" si="0"/>
        <v>4</v>
      </c>
      <c r="AR5" s="6">
        <f t="shared" si="0"/>
        <v>4</v>
      </c>
      <c r="AS5" s="6">
        <f t="shared" si="0"/>
        <v>4</v>
      </c>
      <c r="AT5" s="6">
        <f t="shared" si="0"/>
        <v>4</v>
      </c>
      <c r="AU5" s="6">
        <f t="shared" si="0"/>
        <v>4</v>
      </c>
      <c r="AV5" s="6">
        <f t="shared" si="0"/>
        <v>4</v>
      </c>
      <c r="AW5" s="6">
        <f t="shared" si="0"/>
        <v>4</v>
      </c>
      <c r="AX5" s="6">
        <f t="shared" si="0"/>
        <v>4</v>
      </c>
      <c r="AY5" s="6">
        <f t="shared" si="0"/>
        <v>4</v>
      </c>
      <c r="AZ5" s="6">
        <f t="shared" si="0"/>
        <v>4</v>
      </c>
      <c r="BA5" s="6">
        <f t="shared" si="0"/>
        <v>4</v>
      </c>
      <c r="BB5" s="6">
        <f t="shared" si="0"/>
        <v>4</v>
      </c>
      <c r="BC5" s="6">
        <f t="shared" si="0"/>
        <v>5</v>
      </c>
      <c r="BD5" s="6">
        <f t="shared" si="0"/>
        <v>5</v>
      </c>
      <c r="BE5" s="6">
        <f t="shared" si="0"/>
        <v>5</v>
      </c>
      <c r="BF5" s="6">
        <f t="shared" si="0"/>
        <v>5</v>
      </c>
      <c r="BG5" s="6">
        <f t="shared" si="0"/>
        <v>5</v>
      </c>
      <c r="BH5" s="6">
        <f t="shared" si="0"/>
        <v>5</v>
      </c>
      <c r="BI5" s="6">
        <f t="shared" si="0"/>
        <v>5</v>
      </c>
      <c r="BJ5" s="6">
        <f t="shared" si="0"/>
        <v>5</v>
      </c>
      <c r="BK5" s="6">
        <f t="shared" si="0"/>
        <v>5</v>
      </c>
      <c r="BL5" s="6">
        <f t="shared" si="0"/>
        <v>5</v>
      </c>
      <c r="BM5" s="6">
        <f t="shared" si="0"/>
        <v>5</v>
      </c>
      <c r="BN5" s="6">
        <f t="shared" si="0"/>
        <v>5</v>
      </c>
      <c r="BO5" s="6">
        <f t="shared" si="0"/>
        <v>6</v>
      </c>
      <c r="BP5" s="6">
        <f t="shared" si="0"/>
        <v>6</v>
      </c>
      <c r="BQ5" s="6">
        <f t="shared" si="0"/>
        <v>6</v>
      </c>
      <c r="BR5" s="6">
        <f t="shared" si="0"/>
        <v>6</v>
      </c>
      <c r="BS5" s="6">
        <f t="shared" si="0"/>
        <v>6</v>
      </c>
      <c r="BT5" s="6">
        <f t="shared" ref="BT5:CR5" si="1">ROUNDUP(BT7/12,0)</f>
        <v>6</v>
      </c>
      <c r="BU5" s="6">
        <f t="shared" si="1"/>
        <v>6</v>
      </c>
      <c r="BV5" s="6">
        <f t="shared" si="1"/>
        <v>6</v>
      </c>
      <c r="BW5" s="6">
        <f t="shared" si="1"/>
        <v>6</v>
      </c>
      <c r="BX5" s="6">
        <f t="shared" si="1"/>
        <v>6</v>
      </c>
      <c r="BY5" s="6">
        <f t="shared" si="1"/>
        <v>6</v>
      </c>
      <c r="BZ5" s="6">
        <f t="shared" si="1"/>
        <v>6</v>
      </c>
      <c r="CA5" s="6">
        <f t="shared" si="1"/>
        <v>7</v>
      </c>
      <c r="CB5" s="6">
        <f t="shared" si="1"/>
        <v>7</v>
      </c>
      <c r="CC5" s="6">
        <f t="shared" si="1"/>
        <v>7</v>
      </c>
      <c r="CD5" s="6">
        <f t="shared" si="1"/>
        <v>7</v>
      </c>
      <c r="CE5" s="6">
        <f t="shared" si="1"/>
        <v>7</v>
      </c>
      <c r="CF5" s="6">
        <f t="shared" si="1"/>
        <v>7</v>
      </c>
      <c r="CG5" s="6">
        <f t="shared" si="1"/>
        <v>7</v>
      </c>
      <c r="CH5" s="6">
        <f t="shared" si="1"/>
        <v>7</v>
      </c>
      <c r="CI5" s="6">
        <f t="shared" si="1"/>
        <v>7</v>
      </c>
      <c r="CJ5" s="6">
        <f t="shared" si="1"/>
        <v>7</v>
      </c>
      <c r="CK5" s="6">
        <f t="shared" si="1"/>
        <v>7</v>
      </c>
      <c r="CL5" s="6">
        <f t="shared" si="1"/>
        <v>7</v>
      </c>
      <c r="CM5" s="6">
        <f t="shared" si="1"/>
        <v>8</v>
      </c>
      <c r="CN5" s="6">
        <f t="shared" si="1"/>
        <v>8</v>
      </c>
      <c r="CO5" s="6">
        <f t="shared" si="1"/>
        <v>8</v>
      </c>
      <c r="CP5" s="6">
        <f t="shared" si="1"/>
        <v>8</v>
      </c>
      <c r="CQ5" s="6">
        <f t="shared" si="1"/>
        <v>8</v>
      </c>
      <c r="CR5" s="6">
        <f t="shared" si="1"/>
        <v>8</v>
      </c>
    </row>
    <row r="6" spans="2:96" x14ac:dyDescent="0.3">
      <c r="F6" s="9" t="s">
        <v>35</v>
      </c>
      <c r="G6" s="7">
        <f>EOMONTH($E$9,G7-1)</f>
        <v>43131</v>
      </c>
      <c r="H6" s="7">
        <f t="shared" ref="H6:J6" si="2">EOMONTH($E$9,H7-1)</f>
        <v>43159</v>
      </c>
      <c r="I6" s="7">
        <f t="shared" si="2"/>
        <v>43190</v>
      </c>
      <c r="J6" s="7">
        <f t="shared" si="2"/>
        <v>43220</v>
      </c>
      <c r="K6" s="7">
        <f t="shared" ref="K6" si="3">EOMONTH($E$9,K7-1)</f>
        <v>43251</v>
      </c>
      <c r="L6" s="7">
        <f t="shared" ref="L6" si="4">EOMONTH($E$9,L7-1)</f>
        <v>43281</v>
      </c>
      <c r="M6" s="7">
        <f t="shared" ref="M6" si="5">EOMONTH($E$9,M7-1)</f>
        <v>43312</v>
      </c>
      <c r="N6" s="7">
        <f t="shared" ref="N6" si="6">EOMONTH($E$9,N7-1)</f>
        <v>43343</v>
      </c>
      <c r="O6" s="7">
        <f t="shared" ref="O6" si="7">EOMONTH($E$9,O7-1)</f>
        <v>43373</v>
      </c>
      <c r="P6" s="7">
        <f t="shared" ref="P6" si="8">EOMONTH($E$9,P7-1)</f>
        <v>43404</v>
      </c>
      <c r="Q6" s="7">
        <f t="shared" ref="Q6" si="9">EOMONTH($E$9,Q7-1)</f>
        <v>43434</v>
      </c>
      <c r="R6" s="7">
        <f t="shared" ref="R6" si="10">EOMONTH($E$9,R7-1)</f>
        <v>43465</v>
      </c>
      <c r="S6" s="7">
        <f t="shared" ref="S6" si="11">EOMONTH($E$9,S7-1)</f>
        <v>43496</v>
      </c>
      <c r="T6" s="7">
        <f t="shared" ref="T6" si="12">EOMONTH($E$9,T7-1)</f>
        <v>43524</v>
      </c>
      <c r="U6" s="7">
        <f t="shared" ref="U6" si="13">EOMONTH($E$9,U7-1)</f>
        <v>43555</v>
      </c>
      <c r="V6" s="7">
        <f t="shared" ref="V6" si="14">EOMONTH($E$9,V7-1)</f>
        <v>43585</v>
      </c>
      <c r="W6" s="7">
        <f t="shared" ref="W6" si="15">EOMONTH($E$9,W7-1)</f>
        <v>43616</v>
      </c>
      <c r="X6" s="7">
        <f t="shared" ref="X6" si="16">EOMONTH($E$9,X7-1)</f>
        <v>43646</v>
      </c>
      <c r="Y6" s="7">
        <f t="shared" ref="Y6" si="17">EOMONTH($E$9,Y7-1)</f>
        <v>43677</v>
      </c>
      <c r="Z6" s="7">
        <f t="shared" ref="Z6" si="18">EOMONTH($E$9,Z7-1)</f>
        <v>43708</v>
      </c>
      <c r="AA6" s="7">
        <f t="shared" ref="AA6" si="19">EOMONTH($E$9,AA7-1)</f>
        <v>43738</v>
      </c>
      <c r="AB6" s="7">
        <f t="shared" ref="AB6" si="20">EOMONTH($E$9,AB7-1)</f>
        <v>43769</v>
      </c>
      <c r="AC6" s="7">
        <f t="shared" ref="AC6" si="21">EOMONTH($E$9,AC7-1)</f>
        <v>43799</v>
      </c>
      <c r="AD6" s="7">
        <f t="shared" ref="AD6" si="22">EOMONTH($E$9,AD7-1)</f>
        <v>43830</v>
      </c>
      <c r="AE6" s="7">
        <f t="shared" ref="AE6" si="23">EOMONTH($E$9,AE7-1)</f>
        <v>43861</v>
      </c>
      <c r="AF6" s="7">
        <f t="shared" ref="AF6" si="24">EOMONTH($E$9,AF7-1)</f>
        <v>43890</v>
      </c>
      <c r="AG6" s="7">
        <f t="shared" ref="AG6" si="25">EOMONTH($E$9,AG7-1)</f>
        <v>43921</v>
      </c>
      <c r="AH6" s="7">
        <f t="shared" ref="AH6" si="26">EOMONTH($E$9,AH7-1)</f>
        <v>43951</v>
      </c>
      <c r="AI6" s="7">
        <f t="shared" ref="AI6" si="27">EOMONTH($E$9,AI7-1)</f>
        <v>43982</v>
      </c>
      <c r="AJ6" s="7">
        <f t="shared" ref="AJ6" si="28">EOMONTH($E$9,AJ7-1)</f>
        <v>44012</v>
      </c>
      <c r="AK6" s="7">
        <f t="shared" ref="AK6" si="29">EOMONTH($E$9,AK7-1)</f>
        <v>44043</v>
      </c>
      <c r="AL6" s="7">
        <f t="shared" ref="AL6" si="30">EOMONTH($E$9,AL7-1)</f>
        <v>44074</v>
      </c>
      <c r="AM6" s="7">
        <f t="shared" ref="AM6" si="31">EOMONTH($E$9,AM7-1)</f>
        <v>44104</v>
      </c>
      <c r="AN6" s="7">
        <f t="shared" ref="AN6" si="32">EOMONTH($E$9,AN7-1)</f>
        <v>44135</v>
      </c>
      <c r="AO6" s="7">
        <f t="shared" ref="AO6" si="33">EOMONTH($E$9,AO7-1)</f>
        <v>44165</v>
      </c>
      <c r="AP6" s="7">
        <f t="shared" ref="AP6" si="34">EOMONTH($E$9,AP7-1)</f>
        <v>44196</v>
      </c>
      <c r="AQ6" s="7">
        <f t="shared" ref="AQ6" si="35">EOMONTH($E$9,AQ7-1)</f>
        <v>44227</v>
      </c>
      <c r="AR6" s="7">
        <f t="shared" ref="AR6" si="36">EOMONTH($E$9,AR7-1)</f>
        <v>44255</v>
      </c>
      <c r="AS6" s="7">
        <f t="shared" ref="AS6" si="37">EOMONTH($E$9,AS7-1)</f>
        <v>44286</v>
      </c>
      <c r="AT6" s="7">
        <f t="shared" ref="AT6" si="38">EOMONTH($E$9,AT7-1)</f>
        <v>44316</v>
      </c>
      <c r="AU6" s="7">
        <f t="shared" ref="AU6" si="39">EOMONTH($E$9,AU7-1)</f>
        <v>44347</v>
      </c>
      <c r="AV6" s="7">
        <f t="shared" ref="AV6" si="40">EOMONTH($E$9,AV7-1)</f>
        <v>44377</v>
      </c>
      <c r="AW6" s="7">
        <f t="shared" ref="AW6" si="41">EOMONTH($E$9,AW7-1)</f>
        <v>44408</v>
      </c>
      <c r="AX6" s="7">
        <f t="shared" ref="AX6" si="42">EOMONTH($E$9,AX7-1)</f>
        <v>44439</v>
      </c>
      <c r="AY6" s="7">
        <f t="shared" ref="AY6" si="43">EOMONTH($E$9,AY7-1)</f>
        <v>44469</v>
      </c>
      <c r="AZ6" s="7">
        <f t="shared" ref="AZ6" si="44">EOMONTH($E$9,AZ7-1)</f>
        <v>44500</v>
      </c>
      <c r="BA6" s="7">
        <f t="shared" ref="BA6" si="45">EOMONTH($E$9,BA7-1)</f>
        <v>44530</v>
      </c>
      <c r="BB6" s="7">
        <f t="shared" ref="BB6" si="46">EOMONTH($E$9,BB7-1)</f>
        <v>44561</v>
      </c>
      <c r="BC6" s="7">
        <f t="shared" ref="BC6" si="47">EOMONTH($E$9,BC7-1)</f>
        <v>44592</v>
      </c>
      <c r="BD6" s="7">
        <f t="shared" ref="BD6" si="48">EOMONTH($E$9,BD7-1)</f>
        <v>44620</v>
      </c>
      <c r="BE6" s="7">
        <f t="shared" ref="BE6" si="49">EOMONTH($E$9,BE7-1)</f>
        <v>44651</v>
      </c>
      <c r="BF6" s="7">
        <f t="shared" ref="BF6" si="50">EOMONTH($E$9,BF7-1)</f>
        <v>44681</v>
      </c>
      <c r="BG6" s="7">
        <f t="shared" ref="BG6" si="51">EOMONTH($E$9,BG7-1)</f>
        <v>44712</v>
      </c>
      <c r="BH6" s="7">
        <f t="shared" ref="BH6" si="52">EOMONTH($E$9,BH7-1)</f>
        <v>44742</v>
      </c>
      <c r="BI6" s="7">
        <f t="shared" ref="BI6" si="53">EOMONTH($E$9,BI7-1)</f>
        <v>44773</v>
      </c>
      <c r="BJ6" s="7">
        <f t="shared" ref="BJ6" si="54">EOMONTH($E$9,BJ7-1)</f>
        <v>44804</v>
      </c>
      <c r="BK6" s="7">
        <f t="shared" ref="BK6" si="55">EOMONTH($E$9,BK7-1)</f>
        <v>44834</v>
      </c>
      <c r="BL6" s="7">
        <f t="shared" ref="BL6" si="56">EOMONTH($E$9,BL7-1)</f>
        <v>44865</v>
      </c>
      <c r="BM6" s="7">
        <f t="shared" ref="BM6" si="57">EOMONTH($E$9,BM7-1)</f>
        <v>44895</v>
      </c>
      <c r="BN6" s="7">
        <f t="shared" ref="BN6" si="58">EOMONTH($E$9,BN7-1)</f>
        <v>44926</v>
      </c>
      <c r="BO6" s="7">
        <f t="shared" ref="BO6" si="59">EOMONTH($E$9,BO7-1)</f>
        <v>44957</v>
      </c>
      <c r="BP6" s="7">
        <f t="shared" ref="BP6" si="60">EOMONTH($E$9,BP7-1)</f>
        <v>44985</v>
      </c>
      <c r="BQ6" s="7">
        <f t="shared" ref="BQ6" si="61">EOMONTH($E$9,BQ7-1)</f>
        <v>45016</v>
      </c>
      <c r="BR6" s="7">
        <f t="shared" ref="BR6" si="62">EOMONTH($E$9,BR7-1)</f>
        <v>45046</v>
      </c>
      <c r="BS6" s="7">
        <f t="shared" ref="BS6" si="63">EOMONTH($E$9,BS7-1)</f>
        <v>45077</v>
      </c>
      <c r="BT6" s="7">
        <f t="shared" ref="BT6" si="64">EOMONTH($E$9,BT7-1)</f>
        <v>45107</v>
      </c>
      <c r="BU6" s="7">
        <f t="shared" ref="BU6" si="65">EOMONTH($E$9,BU7-1)</f>
        <v>45138</v>
      </c>
      <c r="BV6" s="7">
        <f t="shared" ref="BV6" si="66">EOMONTH($E$9,BV7-1)</f>
        <v>45169</v>
      </c>
      <c r="BW6" s="7">
        <f t="shared" ref="BW6" si="67">EOMONTH($E$9,BW7-1)</f>
        <v>45199</v>
      </c>
      <c r="BX6" s="7">
        <f t="shared" ref="BX6" si="68">EOMONTH($E$9,BX7-1)</f>
        <v>45230</v>
      </c>
      <c r="BY6" s="7">
        <f t="shared" ref="BY6" si="69">EOMONTH($E$9,BY7-1)</f>
        <v>45260</v>
      </c>
      <c r="BZ6" s="7">
        <f t="shared" ref="BZ6" si="70">EOMONTH($E$9,BZ7-1)</f>
        <v>45291</v>
      </c>
      <c r="CA6" s="7">
        <f t="shared" ref="CA6" si="71">EOMONTH($E$9,CA7-1)</f>
        <v>45322</v>
      </c>
      <c r="CB6" s="7">
        <f t="shared" ref="CB6" si="72">EOMONTH($E$9,CB7-1)</f>
        <v>45351</v>
      </c>
      <c r="CC6" s="7">
        <f t="shared" ref="CC6" si="73">EOMONTH($E$9,CC7-1)</f>
        <v>45382</v>
      </c>
      <c r="CD6" s="7">
        <f t="shared" ref="CD6" si="74">EOMONTH($E$9,CD7-1)</f>
        <v>45412</v>
      </c>
      <c r="CE6" s="7">
        <f t="shared" ref="CE6" si="75">EOMONTH($E$9,CE7-1)</f>
        <v>45443</v>
      </c>
      <c r="CF6" s="7">
        <f t="shared" ref="CF6" si="76">EOMONTH($E$9,CF7-1)</f>
        <v>45473</v>
      </c>
      <c r="CG6" s="7">
        <f t="shared" ref="CG6" si="77">EOMONTH($E$9,CG7-1)</f>
        <v>45504</v>
      </c>
      <c r="CH6" s="7">
        <f t="shared" ref="CH6" si="78">EOMONTH($E$9,CH7-1)</f>
        <v>45535</v>
      </c>
      <c r="CI6" s="7">
        <f t="shared" ref="CI6" si="79">EOMONTH($E$9,CI7-1)</f>
        <v>45565</v>
      </c>
      <c r="CJ6" s="7">
        <f t="shared" ref="CJ6" si="80">EOMONTH($E$9,CJ7-1)</f>
        <v>45596</v>
      </c>
      <c r="CK6" s="7">
        <f t="shared" ref="CK6" si="81">EOMONTH($E$9,CK7-1)</f>
        <v>45626</v>
      </c>
      <c r="CL6" s="7">
        <f t="shared" ref="CL6" si="82">EOMONTH($E$9,CL7-1)</f>
        <v>45657</v>
      </c>
      <c r="CM6" s="7">
        <f t="shared" ref="CM6" si="83">EOMONTH($E$9,CM7-1)</f>
        <v>45688</v>
      </c>
      <c r="CN6" s="7">
        <f t="shared" ref="CN6" si="84">EOMONTH($E$9,CN7-1)</f>
        <v>45716</v>
      </c>
      <c r="CO6" s="7">
        <f t="shared" ref="CO6" si="85">EOMONTH($E$9,CO7-1)</f>
        <v>45747</v>
      </c>
      <c r="CP6" s="7">
        <f t="shared" ref="CP6" si="86">EOMONTH($E$9,CP7-1)</f>
        <v>45777</v>
      </c>
      <c r="CQ6" s="7">
        <f t="shared" ref="CQ6" si="87">EOMONTH($E$9,CQ7-1)</f>
        <v>45808</v>
      </c>
      <c r="CR6" s="7">
        <f t="shared" ref="CR6" si="88">EOMONTH($E$9,CR7-1)</f>
        <v>45838</v>
      </c>
    </row>
    <row r="7" spans="2:96" x14ac:dyDescent="0.3">
      <c r="B7" s="1"/>
      <c r="F7" s="9" t="s">
        <v>36</v>
      </c>
      <c r="G7" s="58">
        <v>1</v>
      </c>
      <c r="H7" s="8">
        <f>G7+1</f>
        <v>2</v>
      </c>
      <c r="I7" s="8">
        <f>H7+1</f>
        <v>3</v>
      </c>
      <c r="J7" s="8">
        <f t="shared" ref="J7:BU7" si="89">I7+1</f>
        <v>4</v>
      </c>
      <c r="K7" s="8">
        <f t="shared" si="89"/>
        <v>5</v>
      </c>
      <c r="L7" s="8">
        <f t="shared" si="89"/>
        <v>6</v>
      </c>
      <c r="M7" s="8">
        <f t="shared" si="89"/>
        <v>7</v>
      </c>
      <c r="N7" s="8">
        <f t="shared" si="89"/>
        <v>8</v>
      </c>
      <c r="O7" s="8">
        <f t="shared" si="89"/>
        <v>9</v>
      </c>
      <c r="P7" s="8">
        <f t="shared" si="89"/>
        <v>10</v>
      </c>
      <c r="Q7" s="8">
        <f t="shared" si="89"/>
        <v>11</v>
      </c>
      <c r="R7" s="8">
        <f t="shared" si="89"/>
        <v>12</v>
      </c>
      <c r="S7" s="8">
        <f t="shared" si="89"/>
        <v>13</v>
      </c>
      <c r="T7" s="8">
        <f t="shared" si="89"/>
        <v>14</v>
      </c>
      <c r="U7" s="8">
        <f t="shared" si="89"/>
        <v>15</v>
      </c>
      <c r="V7" s="8">
        <f t="shared" si="89"/>
        <v>16</v>
      </c>
      <c r="W7" s="8">
        <f t="shared" si="89"/>
        <v>17</v>
      </c>
      <c r="X7" s="8">
        <f t="shared" si="89"/>
        <v>18</v>
      </c>
      <c r="Y7" s="8">
        <f t="shared" si="89"/>
        <v>19</v>
      </c>
      <c r="Z7" s="8">
        <f t="shared" si="89"/>
        <v>20</v>
      </c>
      <c r="AA7" s="8">
        <f t="shared" si="89"/>
        <v>21</v>
      </c>
      <c r="AB7" s="8">
        <f t="shared" si="89"/>
        <v>22</v>
      </c>
      <c r="AC7" s="8">
        <f t="shared" si="89"/>
        <v>23</v>
      </c>
      <c r="AD7" s="8">
        <f t="shared" si="89"/>
        <v>24</v>
      </c>
      <c r="AE7" s="8">
        <f t="shared" si="89"/>
        <v>25</v>
      </c>
      <c r="AF7" s="8">
        <f t="shared" si="89"/>
        <v>26</v>
      </c>
      <c r="AG7" s="8">
        <f t="shared" si="89"/>
        <v>27</v>
      </c>
      <c r="AH7" s="8">
        <f t="shared" si="89"/>
        <v>28</v>
      </c>
      <c r="AI7" s="8">
        <f t="shared" si="89"/>
        <v>29</v>
      </c>
      <c r="AJ7" s="8">
        <f t="shared" si="89"/>
        <v>30</v>
      </c>
      <c r="AK7" s="8">
        <f t="shared" si="89"/>
        <v>31</v>
      </c>
      <c r="AL7" s="8">
        <f t="shared" si="89"/>
        <v>32</v>
      </c>
      <c r="AM7" s="8">
        <f t="shared" si="89"/>
        <v>33</v>
      </c>
      <c r="AN7" s="8">
        <f t="shared" si="89"/>
        <v>34</v>
      </c>
      <c r="AO7" s="8">
        <f t="shared" si="89"/>
        <v>35</v>
      </c>
      <c r="AP7" s="8">
        <f t="shared" si="89"/>
        <v>36</v>
      </c>
      <c r="AQ7" s="8">
        <f t="shared" si="89"/>
        <v>37</v>
      </c>
      <c r="AR7" s="8">
        <f t="shared" si="89"/>
        <v>38</v>
      </c>
      <c r="AS7" s="8">
        <f t="shared" si="89"/>
        <v>39</v>
      </c>
      <c r="AT7" s="8">
        <f t="shared" si="89"/>
        <v>40</v>
      </c>
      <c r="AU7" s="8">
        <f t="shared" si="89"/>
        <v>41</v>
      </c>
      <c r="AV7" s="8">
        <f t="shared" si="89"/>
        <v>42</v>
      </c>
      <c r="AW7" s="8">
        <f t="shared" si="89"/>
        <v>43</v>
      </c>
      <c r="AX7" s="8">
        <f t="shared" si="89"/>
        <v>44</v>
      </c>
      <c r="AY7" s="8">
        <f t="shared" si="89"/>
        <v>45</v>
      </c>
      <c r="AZ7" s="8">
        <f t="shared" si="89"/>
        <v>46</v>
      </c>
      <c r="BA7" s="8">
        <f t="shared" si="89"/>
        <v>47</v>
      </c>
      <c r="BB7" s="8">
        <f t="shared" si="89"/>
        <v>48</v>
      </c>
      <c r="BC7" s="8">
        <f t="shared" si="89"/>
        <v>49</v>
      </c>
      <c r="BD7" s="8">
        <f t="shared" si="89"/>
        <v>50</v>
      </c>
      <c r="BE7" s="8">
        <f t="shared" si="89"/>
        <v>51</v>
      </c>
      <c r="BF7" s="8">
        <f t="shared" si="89"/>
        <v>52</v>
      </c>
      <c r="BG7" s="8">
        <f t="shared" si="89"/>
        <v>53</v>
      </c>
      <c r="BH7" s="8">
        <f t="shared" si="89"/>
        <v>54</v>
      </c>
      <c r="BI7" s="8">
        <f t="shared" si="89"/>
        <v>55</v>
      </c>
      <c r="BJ7" s="8">
        <f t="shared" si="89"/>
        <v>56</v>
      </c>
      <c r="BK7" s="8">
        <f t="shared" si="89"/>
        <v>57</v>
      </c>
      <c r="BL7" s="8">
        <f t="shared" si="89"/>
        <v>58</v>
      </c>
      <c r="BM7" s="8">
        <f t="shared" si="89"/>
        <v>59</v>
      </c>
      <c r="BN7" s="8">
        <f t="shared" si="89"/>
        <v>60</v>
      </c>
      <c r="BO7" s="8">
        <f t="shared" si="89"/>
        <v>61</v>
      </c>
      <c r="BP7" s="8">
        <f t="shared" si="89"/>
        <v>62</v>
      </c>
      <c r="BQ7" s="8">
        <f t="shared" si="89"/>
        <v>63</v>
      </c>
      <c r="BR7" s="8">
        <f t="shared" si="89"/>
        <v>64</v>
      </c>
      <c r="BS7" s="8">
        <f t="shared" si="89"/>
        <v>65</v>
      </c>
      <c r="BT7" s="8">
        <f t="shared" si="89"/>
        <v>66</v>
      </c>
      <c r="BU7" s="8">
        <f t="shared" si="89"/>
        <v>67</v>
      </c>
      <c r="BV7" s="8">
        <f t="shared" ref="BV7:CR7" si="90">BU7+1</f>
        <v>68</v>
      </c>
      <c r="BW7" s="8">
        <f t="shared" si="90"/>
        <v>69</v>
      </c>
      <c r="BX7" s="8">
        <f t="shared" si="90"/>
        <v>70</v>
      </c>
      <c r="BY7" s="8">
        <f t="shared" si="90"/>
        <v>71</v>
      </c>
      <c r="BZ7" s="8">
        <f t="shared" si="90"/>
        <v>72</v>
      </c>
      <c r="CA7" s="8">
        <f t="shared" si="90"/>
        <v>73</v>
      </c>
      <c r="CB7" s="8">
        <f t="shared" si="90"/>
        <v>74</v>
      </c>
      <c r="CC7" s="8">
        <f t="shared" si="90"/>
        <v>75</v>
      </c>
      <c r="CD7" s="8">
        <f t="shared" si="90"/>
        <v>76</v>
      </c>
      <c r="CE7" s="8">
        <f t="shared" si="90"/>
        <v>77</v>
      </c>
      <c r="CF7" s="8">
        <f t="shared" si="90"/>
        <v>78</v>
      </c>
      <c r="CG7" s="8">
        <f t="shared" si="90"/>
        <v>79</v>
      </c>
      <c r="CH7" s="8">
        <f t="shared" si="90"/>
        <v>80</v>
      </c>
      <c r="CI7" s="8">
        <f t="shared" si="90"/>
        <v>81</v>
      </c>
      <c r="CJ7" s="8">
        <f t="shared" si="90"/>
        <v>82</v>
      </c>
      <c r="CK7" s="8">
        <f t="shared" si="90"/>
        <v>83</v>
      </c>
      <c r="CL7" s="8">
        <f t="shared" si="90"/>
        <v>84</v>
      </c>
      <c r="CM7" s="8">
        <f t="shared" si="90"/>
        <v>85</v>
      </c>
      <c r="CN7" s="8">
        <f t="shared" si="90"/>
        <v>86</v>
      </c>
      <c r="CO7" s="8">
        <f t="shared" si="90"/>
        <v>87</v>
      </c>
      <c r="CP7" s="8">
        <f t="shared" si="90"/>
        <v>88</v>
      </c>
      <c r="CQ7" s="8">
        <f t="shared" si="90"/>
        <v>89</v>
      </c>
      <c r="CR7" s="8">
        <f t="shared" si="90"/>
        <v>90</v>
      </c>
    </row>
    <row r="8" spans="2:96" x14ac:dyDescent="0.3">
      <c r="C8" s="11" t="s">
        <v>39</v>
      </c>
      <c r="D8" s="11" t="s">
        <v>38</v>
      </c>
      <c r="E8" s="11" t="s">
        <v>37</v>
      </c>
    </row>
    <row r="9" spans="2:96" x14ac:dyDescent="0.3">
      <c r="C9" s="59">
        <v>200000</v>
      </c>
      <c r="D9" s="60">
        <v>28</v>
      </c>
      <c r="E9" s="61">
        <v>43101</v>
      </c>
    </row>
    <row r="10" spans="2:96" s="16" customFormat="1" x14ac:dyDescent="0.3">
      <c r="B10" s="17" t="s">
        <v>40</v>
      </c>
    </row>
    <row r="11" spans="2:96" x14ac:dyDescent="0.3">
      <c r="B11" s="10"/>
      <c r="C11" s="10" t="s">
        <v>51</v>
      </c>
      <c r="D11" s="54" t="s">
        <v>53</v>
      </c>
      <c r="E11" s="11" t="s">
        <v>52</v>
      </c>
      <c r="F11" s="11" t="s">
        <v>54</v>
      </c>
    </row>
    <row r="12" spans="2:96" x14ac:dyDescent="0.3">
      <c r="B12" s="10" t="s">
        <v>41</v>
      </c>
      <c r="C12" s="62">
        <v>20000000</v>
      </c>
      <c r="D12" s="63">
        <v>1</v>
      </c>
      <c r="E12" s="60">
        <v>1</v>
      </c>
      <c r="F12" s="18" t="str">
        <f>IF(SUM(G12:CR12)=C12, "OK","ERROR")</f>
        <v>OK</v>
      </c>
      <c r="G12" s="19">
        <f>AND(G$7&gt;=$D12,G$7&lt;=$E12)*($C12/($E12-$D12+1))</f>
        <v>20000000</v>
      </c>
      <c r="H12" s="19">
        <f t="shared" ref="H12:BS13" si="91">AND(H$7&gt;=$D12,H$7&lt;=$E12)*($C12/($E12-$D12+1))</f>
        <v>0</v>
      </c>
      <c r="I12" s="19">
        <f t="shared" si="91"/>
        <v>0</v>
      </c>
      <c r="J12" s="19">
        <f t="shared" si="91"/>
        <v>0</v>
      </c>
      <c r="K12" s="19">
        <f t="shared" si="91"/>
        <v>0</v>
      </c>
      <c r="L12" s="19">
        <f t="shared" si="91"/>
        <v>0</v>
      </c>
      <c r="M12" s="19">
        <f t="shared" si="91"/>
        <v>0</v>
      </c>
      <c r="N12" s="19">
        <f t="shared" si="91"/>
        <v>0</v>
      </c>
      <c r="O12" s="19">
        <f t="shared" si="91"/>
        <v>0</v>
      </c>
      <c r="P12" s="19">
        <f t="shared" si="91"/>
        <v>0</v>
      </c>
      <c r="Q12" s="19">
        <f t="shared" si="91"/>
        <v>0</v>
      </c>
      <c r="R12" s="19">
        <f t="shared" si="91"/>
        <v>0</v>
      </c>
      <c r="S12" s="19">
        <f t="shared" si="91"/>
        <v>0</v>
      </c>
      <c r="T12" s="19">
        <f t="shared" si="91"/>
        <v>0</v>
      </c>
      <c r="U12" s="19">
        <f t="shared" si="91"/>
        <v>0</v>
      </c>
      <c r="V12" s="19">
        <f t="shared" si="91"/>
        <v>0</v>
      </c>
      <c r="W12" s="19">
        <f t="shared" si="91"/>
        <v>0</v>
      </c>
      <c r="X12" s="19">
        <f t="shared" si="91"/>
        <v>0</v>
      </c>
      <c r="Y12" s="19">
        <f t="shared" si="91"/>
        <v>0</v>
      </c>
      <c r="Z12" s="19">
        <f t="shared" si="91"/>
        <v>0</v>
      </c>
      <c r="AA12" s="19">
        <f t="shared" si="91"/>
        <v>0</v>
      </c>
      <c r="AB12" s="19">
        <f t="shared" si="91"/>
        <v>0</v>
      </c>
      <c r="AC12" s="19">
        <f t="shared" si="91"/>
        <v>0</v>
      </c>
      <c r="AD12" s="19">
        <f t="shared" si="91"/>
        <v>0</v>
      </c>
      <c r="AE12" s="19">
        <f t="shared" si="91"/>
        <v>0</v>
      </c>
      <c r="AF12" s="19">
        <f t="shared" si="91"/>
        <v>0</v>
      </c>
      <c r="AG12" s="19">
        <f t="shared" si="91"/>
        <v>0</v>
      </c>
      <c r="AH12" s="19">
        <f t="shared" si="91"/>
        <v>0</v>
      </c>
      <c r="AI12" s="19">
        <f t="shared" si="91"/>
        <v>0</v>
      </c>
      <c r="AJ12" s="19">
        <f t="shared" si="91"/>
        <v>0</v>
      </c>
      <c r="AK12" s="19">
        <f t="shared" si="91"/>
        <v>0</v>
      </c>
      <c r="AL12" s="19">
        <f t="shared" si="91"/>
        <v>0</v>
      </c>
      <c r="AM12" s="19">
        <f t="shared" si="91"/>
        <v>0</v>
      </c>
      <c r="AN12" s="19">
        <f t="shared" si="91"/>
        <v>0</v>
      </c>
      <c r="AO12" s="19">
        <f t="shared" si="91"/>
        <v>0</v>
      </c>
      <c r="AP12" s="19">
        <f t="shared" si="91"/>
        <v>0</v>
      </c>
      <c r="AQ12" s="19">
        <f t="shared" si="91"/>
        <v>0</v>
      </c>
      <c r="AR12" s="19">
        <f t="shared" si="91"/>
        <v>0</v>
      </c>
      <c r="AS12" s="19">
        <f t="shared" si="91"/>
        <v>0</v>
      </c>
      <c r="AT12" s="19">
        <f t="shared" si="91"/>
        <v>0</v>
      </c>
      <c r="AU12" s="19">
        <f t="shared" si="91"/>
        <v>0</v>
      </c>
      <c r="AV12" s="19">
        <f t="shared" si="91"/>
        <v>0</v>
      </c>
      <c r="AW12" s="19">
        <f t="shared" si="91"/>
        <v>0</v>
      </c>
      <c r="AX12" s="19">
        <f t="shared" si="91"/>
        <v>0</v>
      </c>
      <c r="AY12" s="19">
        <f t="shared" si="91"/>
        <v>0</v>
      </c>
      <c r="AZ12" s="19">
        <f t="shared" si="91"/>
        <v>0</v>
      </c>
      <c r="BA12" s="19">
        <f t="shared" si="91"/>
        <v>0</v>
      </c>
      <c r="BB12" s="19">
        <f t="shared" si="91"/>
        <v>0</v>
      </c>
      <c r="BC12" s="19">
        <f t="shared" si="91"/>
        <v>0</v>
      </c>
      <c r="BD12" s="19">
        <f t="shared" si="91"/>
        <v>0</v>
      </c>
      <c r="BE12" s="19">
        <f t="shared" si="91"/>
        <v>0</v>
      </c>
      <c r="BF12" s="19">
        <f t="shared" si="91"/>
        <v>0</v>
      </c>
      <c r="BG12" s="19">
        <f t="shared" si="91"/>
        <v>0</v>
      </c>
      <c r="BH12" s="19">
        <f t="shared" si="91"/>
        <v>0</v>
      </c>
      <c r="BI12" s="19">
        <f t="shared" si="91"/>
        <v>0</v>
      </c>
      <c r="BJ12" s="19">
        <f t="shared" si="91"/>
        <v>0</v>
      </c>
      <c r="BK12" s="19">
        <f t="shared" si="91"/>
        <v>0</v>
      </c>
      <c r="BL12" s="19">
        <f t="shared" si="91"/>
        <v>0</v>
      </c>
      <c r="BM12" s="19">
        <f t="shared" si="91"/>
        <v>0</v>
      </c>
      <c r="BN12" s="19">
        <f t="shared" si="91"/>
        <v>0</v>
      </c>
      <c r="BO12" s="19">
        <f t="shared" si="91"/>
        <v>0</v>
      </c>
      <c r="BP12" s="19">
        <f t="shared" si="91"/>
        <v>0</v>
      </c>
      <c r="BQ12" s="19">
        <f t="shared" si="91"/>
        <v>0</v>
      </c>
      <c r="BR12" s="19">
        <f t="shared" si="91"/>
        <v>0</v>
      </c>
      <c r="BS12" s="19">
        <f t="shared" si="91"/>
        <v>0</v>
      </c>
      <c r="BT12" s="19">
        <f t="shared" ref="BT12:CR16" si="92">AND(BT$7&gt;=$D12,BT$7&lt;=$E12)*($C12/($E12-$D12+1))</f>
        <v>0</v>
      </c>
      <c r="BU12" s="19">
        <f t="shared" si="92"/>
        <v>0</v>
      </c>
      <c r="BV12" s="19">
        <f t="shared" si="92"/>
        <v>0</v>
      </c>
      <c r="BW12" s="19">
        <f t="shared" si="92"/>
        <v>0</v>
      </c>
      <c r="BX12" s="19">
        <f t="shared" si="92"/>
        <v>0</v>
      </c>
      <c r="BY12" s="19">
        <f t="shared" si="92"/>
        <v>0</v>
      </c>
      <c r="BZ12" s="19">
        <f t="shared" si="92"/>
        <v>0</v>
      </c>
      <c r="CA12" s="19">
        <f t="shared" si="92"/>
        <v>0</v>
      </c>
      <c r="CB12" s="19">
        <f t="shared" si="92"/>
        <v>0</v>
      </c>
      <c r="CC12" s="19">
        <f t="shared" si="92"/>
        <v>0</v>
      </c>
      <c r="CD12" s="19">
        <f t="shared" si="92"/>
        <v>0</v>
      </c>
      <c r="CE12" s="19">
        <f t="shared" si="92"/>
        <v>0</v>
      </c>
      <c r="CF12" s="19">
        <f t="shared" si="92"/>
        <v>0</v>
      </c>
      <c r="CG12" s="19">
        <f t="shared" si="92"/>
        <v>0</v>
      </c>
      <c r="CH12" s="19">
        <f t="shared" si="92"/>
        <v>0</v>
      </c>
      <c r="CI12" s="19">
        <f t="shared" si="92"/>
        <v>0</v>
      </c>
      <c r="CJ12" s="19">
        <f t="shared" si="92"/>
        <v>0</v>
      </c>
      <c r="CK12" s="19">
        <f t="shared" si="92"/>
        <v>0</v>
      </c>
      <c r="CL12" s="19">
        <f t="shared" si="92"/>
        <v>0</v>
      </c>
      <c r="CM12" s="19">
        <f t="shared" si="92"/>
        <v>0</v>
      </c>
      <c r="CN12" s="19">
        <f t="shared" si="92"/>
        <v>0</v>
      </c>
      <c r="CO12" s="19">
        <f t="shared" si="92"/>
        <v>0</v>
      </c>
      <c r="CP12" s="19">
        <f t="shared" si="92"/>
        <v>0</v>
      </c>
      <c r="CQ12" s="19">
        <f t="shared" si="92"/>
        <v>0</v>
      </c>
      <c r="CR12" s="19">
        <f t="shared" si="92"/>
        <v>0</v>
      </c>
    </row>
    <row r="13" spans="2:96" x14ac:dyDescent="0.3">
      <c r="B13" s="10" t="s">
        <v>42</v>
      </c>
      <c r="C13" s="56">
        <f>C12*0.01</f>
        <v>200000</v>
      </c>
      <c r="D13" s="63">
        <v>1</v>
      </c>
      <c r="E13" s="60">
        <v>1</v>
      </c>
      <c r="F13" s="18" t="str">
        <f t="shared" ref="F13:F20" si="93">IF(SUM(G13:CR13)=C13, "OK","ERROR")</f>
        <v>OK</v>
      </c>
      <c r="G13" s="19">
        <f t="shared" ref="G13:V19" si="94">AND(G$7&gt;=$D13,G$7&lt;=$E13)*($C13/($E13-$D13+1))</f>
        <v>200000</v>
      </c>
      <c r="H13" s="19">
        <f t="shared" si="94"/>
        <v>0</v>
      </c>
      <c r="I13" s="19">
        <f t="shared" si="94"/>
        <v>0</v>
      </c>
      <c r="J13" s="19">
        <f t="shared" si="94"/>
        <v>0</v>
      </c>
      <c r="K13" s="19">
        <f t="shared" si="94"/>
        <v>0</v>
      </c>
      <c r="L13" s="19">
        <f t="shared" si="94"/>
        <v>0</v>
      </c>
      <c r="M13" s="19">
        <f t="shared" si="94"/>
        <v>0</v>
      </c>
      <c r="N13" s="19">
        <f t="shared" si="94"/>
        <v>0</v>
      </c>
      <c r="O13" s="19">
        <f t="shared" si="94"/>
        <v>0</v>
      </c>
      <c r="P13" s="19">
        <f t="shared" si="94"/>
        <v>0</v>
      </c>
      <c r="Q13" s="19">
        <f t="shared" si="94"/>
        <v>0</v>
      </c>
      <c r="R13" s="19">
        <f t="shared" si="94"/>
        <v>0</v>
      </c>
      <c r="S13" s="19">
        <f t="shared" si="94"/>
        <v>0</v>
      </c>
      <c r="T13" s="19">
        <f t="shared" si="94"/>
        <v>0</v>
      </c>
      <c r="U13" s="19">
        <f t="shared" si="94"/>
        <v>0</v>
      </c>
      <c r="V13" s="19">
        <f t="shared" si="94"/>
        <v>0</v>
      </c>
      <c r="W13" s="19">
        <f t="shared" si="91"/>
        <v>0</v>
      </c>
      <c r="X13" s="19">
        <f t="shared" si="91"/>
        <v>0</v>
      </c>
      <c r="Y13" s="19">
        <f t="shared" si="91"/>
        <v>0</v>
      </c>
      <c r="Z13" s="19">
        <f t="shared" si="91"/>
        <v>0</v>
      </c>
      <c r="AA13" s="19">
        <f t="shared" si="91"/>
        <v>0</v>
      </c>
      <c r="AB13" s="19">
        <f t="shared" si="91"/>
        <v>0</v>
      </c>
      <c r="AC13" s="19">
        <f t="shared" si="91"/>
        <v>0</v>
      </c>
      <c r="AD13" s="19">
        <f t="shared" si="91"/>
        <v>0</v>
      </c>
      <c r="AE13" s="19">
        <f t="shared" si="91"/>
        <v>0</v>
      </c>
      <c r="AF13" s="19">
        <f t="shared" si="91"/>
        <v>0</v>
      </c>
      <c r="AG13" s="19">
        <f t="shared" si="91"/>
        <v>0</v>
      </c>
      <c r="AH13" s="19">
        <f t="shared" si="91"/>
        <v>0</v>
      </c>
      <c r="AI13" s="19">
        <f t="shared" si="91"/>
        <v>0</v>
      </c>
      <c r="AJ13" s="19">
        <f t="shared" si="91"/>
        <v>0</v>
      </c>
      <c r="AK13" s="19">
        <f t="shared" si="91"/>
        <v>0</v>
      </c>
      <c r="AL13" s="19">
        <f t="shared" si="91"/>
        <v>0</v>
      </c>
      <c r="AM13" s="19">
        <f t="shared" si="91"/>
        <v>0</v>
      </c>
      <c r="AN13" s="19">
        <f t="shared" si="91"/>
        <v>0</v>
      </c>
      <c r="AO13" s="19">
        <f t="shared" si="91"/>
        <v>0</v>
      </c>
      <c r="AP13" s="19">
        <f t="shared" si="91"/>
        <v>0</v>
      </c>
      <c r="AQ13" s="19">
        <f t="shared" si="91"/>
        <v>0</v>
      </c>
      <c r="AR13" s="19">
        <f t="shared" si="91"/>
        <v>0</v>
      </c>
      <c r="AS13" s="19">
        <f t="shared" si="91"/>
        <v>0</v>
      </c>
      <c r="AT13" s="19">
        <f t="shared" si="91"/>
        <v>0</v>
      </c>
      <c r="AU13" s="19">
        <f t="shared" si="91"/>
        <v>0</v>
      </c>
      <c r="AV13" s="19">
        <f t="shared" si="91"/>
        <v>0</v>
      </c>
      <c r="AW13" s="19">
        <f t="shared" si="91"/>
        <v>0</v>
      </c>
      <c r="AX13" s="19">
        <f t="shared" si="91"/>
        <v>0</v>
      </c>
      <c r="AY13" s="19">
        <f t="shared" si="91"/>
        <v>0</v>
      </c>
      <c r="AZ13" s="19">
        <f t="shared" si="91"/>
        <v>0</v>
      </c>
      <c r="BA13" s="19">
        <f t="shared" si="91"/>
        <v>0</v>
      </c>
      <c r="BB13" s="19">
        <f t="shared" si="91"/>
        <v>0</v>
      </c>
      <c r="BC13" s="19">
        <f t="shared" si="91"/>
        <v>0</v>
      </c>
      <c r="BD13" s="19">
        <f t="shared" si="91"/>
        <v>0</v>
      </c>
      <c r="BE13" s="19">
        <f t="shared" si="91"/>
        <v>0</v>
      </c>
      <c r="BF13" s="19">
        <f t="shared" si="91"/>
        <v>0</v>
      </c>
      <c r="BG13" s="19">
        <f t="shared" si="91"/>
        <v>0</v>
      </c>
      <c r="BH13" s="19">
        <f t="shared" si="91"/>
        <v>0</v>
      </c>
      <c r="BI13" s="19">
        <f t="shared" si="91"/>
        <v>0</v>
      </c>
      <c r="BJ13" s="19">
        <f t="shared" si="91"/>
        <v>0</v>
      </c>
      <c r="BK13" s="19">
        <f t="shared" si="91"/>
        <v>0</v>
      </c>
      <c r="BL13" s="19">
        <f t="shared" si="91"/>
        <v>0</v>
      </c>
      <c r="BM13" s="19">
        <f t="shared" si="91"/>
        <v>0</v>
      </c>
      <c r="BN13" s="19">
        <f t="shared" si="91"/>
        <v>0</v>
      </c>
      <c r="BO13" s="19">
        <f t="shared" si="91"/>
        <v>0</v>
      </c>
      <c r="BP13" s="19">
        <f t="shared" si="91"/>
        <v>0</v>
      </c>
      <c r="BQ13" s="19">
        <f t="shared" si="91"/>
        <v>0</v>
      </c>
      <c r="BR13" s="19">
        <f t="shared" si="91"/>
        <v>0</v>
      </c>
      <c r="BS13" s="19">
        <f t="shared" si="91"/>
        <v>0</v>
      </c>
      <c r="BT13" s="19">
        <f t="shared" si="92"/>
        <v>0</v>
      </c>
      <c r="BU13" s="19">
        <f t="shared" si="92"/>
        <v>0</v>
      </c>
      <c r="BV13" s="19">
        <f t="shared" si="92"/>
        <v>0</v>
      </c>
      <c r="BW13" s="19">
        <f t="shared" si="92"/>
        <v>0</v>
      </c>
      <c r="BX13" s="19">
        <f t="shared" si="92"/>
        <v>0</v>
      </c>
      <c r="BY13" s="19">
        <f t="shared" si="92"/>
        <v>0</v>
      </c>
      <c r="BZ13" s="19">
        <f t="shared" si="92"/>
        <v>0</v>
      </c>
      <c r="CA13" s="19">
        <f t="shared" si="92"/>
        <v>0</v>
      </c>
      <c r="CB13" s="19">
        <f t="shared" si="92"/>
        <v>0</v>
      </c>
      <c r="CC13" s="19">
        <f t="shared" si="92"/>
        <v>0</v>
      </c>
      <c r="CD13" s="19">
        <f t="shared" si="92"/>
        <v>0</v>
      </c>
      <c r="CE13" s="19">
        <f t="shared" si="92"/>
        <v>0</v>
      </c>
      <c r="CF13" s="19">
        <f t="shared" si="92"/>
        <v>0</v>
      </c>
      <c r="CG13" s="19">
        <f t="shared" si="92"/>
        <v>0</v>
      </c>
      <c r="CH13" s="19">
        <f t="shared" si="92"/>
        <v>0</v>
      </c>
      <c r="CI13" s="19">
        <f t="shared" si="92"/>
        <v>0</v>
      </c>
      <c r="CJ13" s="19">
        <f t="shared" si="92"/>
        <v>0</v>
      </c>
      <c r="CK13" s="19">
        <f t="shared" si="92"/>
        <v>0</v>
      </c>
      <c r="CL13" s="19">
        <f t="shared" si="92"/>
        <v>0</v>
      </c>
      <c r="CM13" s="19">
        <f t="shared" si="92"/>
        <v>0</v>
      </c>
      <c r="CN13" s="19">
        <f t="shared" si="92"/>
        <v>0</v>
      </c>
      <c r="CO13" s="19">
        <f t="shared" si="92"/>
        <v>0</v>
      </c>
      <c r="CP13" s="19">
        <f t="shared" si="92"/>
        <v>0</v>
      </c>
      <c r="CQ13" s="19">
        <f t="shared" si="92"/>
        <v>0</v>
      </c>
      <c r="CR13" s="19">
        <f t="shared" si="92"/>
        <v>0</v>
      </c>
    </row>
    <row r="14" spans="2:96" x14ac:dyDescent="0.3">
      <c r="B14" s="10" t="s">
        <v>43</v>
      </c>
      <c r="C14" s="55">
        <f>C9*300</f>
        <v>60000000</v>
      </c>
      <c r="D14" s="63">
        <v>1</v>
      </c>
      <c r="E14" s="60">
        <v>24</v>
      </c>
      <c r="F14" s="18" t="str">
        <f t="shared" si="93"/>
        <v>OK</v>
      </c>
      <c r="G14" s="19">
        <f t="shared" si="94"/>
        <v>2500000</v>
      </c>
      <c r="H14" s="19">
        <f t="shared" ref="H14:BS17" si="95">AND(H$7&gt;=$D14,H$7&lt;=$E14)*($C14/($E14-$D14+1))</f>
        <v>2500000</v>
      </c>
      <c r="I14" s="19">
        <f t="shared" si="95"/>
        <v>2500000</v>
      </c>
      <c r="J14" s="19">
        <f t="shared" si="95"/>
        <v>2500000</v>
      </c>
      <c r="K14" s="19">
        <f t="shared" si="95"/>
        <v>2500000</v>
      </c>
      <c r="L14" s="19">
        <f t="shared" si="95"/>
        <v>2500000</v>
      </c>
      <c r="M14" s="19">
        <f t="shared" si="95"/>
        <v>2500000</v>
      </c>
      <c r="N14" s="19">
        <f t="shared" si="95"/>
        <v>2500000</v>
      </c>
      <c r="O14" s="19">
        <f t="shared" si="95"/>
        <v>2500000</v>
      </c>
      <c r="P14" s="19">
        <f t="shared" si="95"/>
        <v>2500000</v>
      </c>
      <c r="Q14" s="19">
        <f t="shared" si="95"/>
        <v>2500000</v>
      </c>
      <c r="R14" s="19">
        <f t="shared" si="95"/>
        <v>2500000</v>
      </c>
      <c r="S14" s="19">
        <f t="shared" si="95"/>
        <v>2500000</v>
      </c>
      <c r="T14" s="19">
        <f t="shared" si="95"/>
        <v>2500000</v>
      </c>
      <c r="U14" s="19">
        <f t="shared" si="95"/>
        <v>2500000</v>
      </c>
      <c r="V14" s="19">
        <f t="shared" si="95"/>
        <v>2500000</v>
      </c>
      <c r="W14" s="19">
        <f t="shared" si="95"/>
        <v>2500000</v>
      </c>
      <c r="X14" s="19">
        <f t="shared" si="95"/>
        <v>2500000</v>
      </c>
      <c r="Y14" s="19">
        <f t="shared" si="95"/>
        <v>2500000</v>
      </c>
      <c r="Z14" s="19">
        <f t="shared" si="95"/>
        <v>2500000</v>
      </c>
      <c r="AA14" s="19">
        <f t="shared" si="95"/>
        <v>2500000</v>
      </c>
      <c r="AB14" s="19">
        <f t="shared" si="95"/>
        <v>2500000</v>
      </c>
      <c r="AC14" s="19">
        <f t="shared" si="95"/>
        <v>2500000</v>
      </c>
      <c r="AD14" s="19">
        <f t="shared" si="95"/>
        <v>2500000</v>
      </c>
      <c r="AE14" s="19">
        <f t="shared" si="95"/>
        <v>0</v>
      </c>
      <c r="AF14" s="19">
        <f t="shared" si="95"/>
        <v>0</v>
      </c>
      <c r="AG14" s="19">
        <f t="shared" si="95"/>
        <v>0</v>
      </c>
      <c r="AH14" s="19">
        <f t="shared" si="95"/>
        <v>0</v>
      </c>
      <c r="AI14" s="19">
        <f t="shared" si="95"/>
        <v>0</v>
      </c>
      <c r="AJ14" s="19">
        <f t="shared" si="95"/>
        <v>0</v>
      </c>
      <c r="AK14" s="19">
        <f t="shared" si="95"/>
        <v>0</v>
      </c>
      <c r="AL14" s="19">
        <f t="shared" si="95"/>
        <v>0</v>
      </c>
      <c r="AM14" s="19">
        <f t="shared" si="95"/>
        <v>0</v>
      </c>
      <c r="AN14" s="19">
        <f t="shared" si="95"/>
        <v>0</v>
      </c>
      <c r="AO14" s="19">
        <f t="shared" si="95"/>
        <v>0</v>
      </c>
      <c r="AP14" s="19">
        <f t="shared" si="95"/>
        <v>0</v>
      </c>
      <c r="AQ14" s="19">
        <f t="shared" si="95"/>
        <v>0</v>
      </c>
      <c r="AR14" s="19">
        <f t="shared" si="95"/>
        <v>0</v>
      </c>
      <c r="AS14" s="19">
        <f t="shared" si="95"/>
        <v>0</v>
      </c>
      <c r="AT14" s="19">
        <f t="shared" si="95"/>
        <v>0</v>
      </c>
      <c r="AU14" s="19">
        <f t="shared" si="95"/>
        <v>0</v>
      </c>
      <c r="AV14" s="19">
        <f t="shared" si="95"/>
        <v>0</v>
      </c>
      <c r="AW14" s="19">
        <f t="shared" si="95"/>
        <v>0</v>
      </c>
      <c r="AX14" s="19">
        <f t="shared" si="95"/>
        <v>0</v>
      </c>
      <c r="AY14" s="19">
        <f t="shared" si="95"/>
        <v>0</v>
      </c>
      <c r="AZ14" s="19">
        <f t="shared" si="95"/>
        <v>0</v>
      </c>
      <c r="BA14" s="19">
        <f t="shared" si="95"/>
        <v>0</v>
      </c>
      <c r="BB14" s="19">
        <f t="shared" si="95"/>
        <v>0</v>
      </c>
      <c r="BC14" s="19">
        <f t="shared" si="95"/>
        <v>0</v>
      </c>
      <c r="BD14" s="19">
        <f t="shared" si="95"/>
        <v>0</v>
      </c>
      <c r="BE14" s="19">
        <f t="shared" si="95"/>
        <v>0</v>
      </c>
      <c r="BF14" s="19">
        <f t="shared" si="95"/>
        <v>0</v>
      </c>
      <c r="BG14" s="19">
        <f t="shared" si="95"/>
        <v>0</v>
      </c>
      <c r="BH14" s="19">
        <f t="shared" si="95"/>
        <v>0</v>
      </c>
      <c r="BI14" s="19">
        <f t="shared" si="95"/>
        <v>0</v>
      </c>
      <c r="BJ14" s="19">
        <f t="shared" si="95"/>
        <v>0</v>
      </c>
      <c r="BK14" s="19">
        <f t="shared" si="95"/>
        <v>0</v>
      </c>
      <c r="BL14" s="19">
        <f t="shared" si="95"/>
        <v>0</v>
      </c>
      <c r="BM14" s="19">
        <f t="shared" si="95"/>
        <v>0</v>
      </c>
      <c r="BN14" s="19">
        <f t="shared" si="95"/>
        <v>0</v>
      </c>
      <c r="BO14" s="19">
        <f t="shared" si="95"/>
        <v>0</v>
      </c>
      <c r="BP14" s="19">
        <f t="shared" si="95"/>
        <v>0</v>
      </c>
      <c r="BQ14" s="19">
        <f t="shared" si="95"/>
        <v>0</v>
      </c>
      <c r="BR14" s="19">
        <f t="shared" si="95"/>
        <v>0</v>
      </c>
      <c r="BS14" s="19">
        <f t="shared" si="95"/>
        <v>0</v>
      </c>
      <c r="BT14" s="19">
        <f t="shared" si="92"/>
        <v>0</v>
      </c>
      <c r="BU14" s="19">
        <f t="shared" si="92"/>
        <v>0</v>
      </c>
      <c r="BV14" s="19">
        <f t="shared" si="92"/>
        <v>0</v>
      </c>
      <c r="BW14" s="19">
        <f t="shared" si="92"/>
        <v>0</v>
      </c>
      <c r="BX14" s="19">
        <f t="shared" si="92"/>
        <v>0</v>
      </c>
      <c r="BY14" s="19">
        <f t="shared" si="92"/>
        <v>0</v>
      </c>
      <c r="BZ14" s="19">
        <f t="shared" si="92"/>
        <v>0</v>
      </c>
      <c r="CA14" s="19">
        <f t="shared" si="92"/>
        <v>0</v>
      </c>
      <c r="CB14" s="19">
        <f t="shared" si="92"/>
        <v>0</v>
      </c>
      <c r="CC14" s="19">
        <f t="shared" si="92"/>
        <v>0</v>
      </c>
      <c r="CD14" s="19">
        <f t="shared" si="92"/>
        <v>0</v>
      </c>
      <c r="CE14" s="19">
        <f t="shared" si="92"/>
        <v>0</v>
      </c>
      <c r="CF14" s="19">
        <f t="shared" si="92"/>
        <v>0</v>
      </c>
      <c r="CG14" s="19">
        <f t="shared" si="92"/>
        <v>0</v>
      </c>
      <c r="CH14" s="19">
        <f t="shared" si="92"/>
        <v>0</v>
      </c>
      <c r="CI14" s="19">
        <f t="shared" si="92"/>
        <v>0</v>
      </c>
      <c r="CJ14" s="19">
        <f t="shared" si="92"/>
        <v>0</v>
      </c>
      <c r="CK14" s="19">
        <f t="shared" si="92"/>
        <v>0</v>
      </c>
      <c r="CL14" s="19">
        <f t="shared" si="92"/>
        <v>0</v>
      </c>
      <c r="CM14" s="19">
        <f t="shared" si="92"/>
        <v>0</v>
      </c>
      <c r="CN14" s="19">
        <f t="shared" si="92"/>
        <v>0</v>
      </c>
      <c r="CO14" s="19">
        <f t="shared" si="92"/>
        <v>0</v>
      </c>
      <c r="CP14" s="19">
        <f t="shared" si="92"/>
        <v>0</v>
      </c>
      <c r="CQ14" s="19">
        <f t="shared" si="92"/>
        <v>0</v>
      </c>
      <c r="CR14" s="19">
        <f t="shared" si="92"/>
        <v>0</v>
      </c>
    </row>
    <row r="15" spans="2:96" x14ac:dyDescent="0.3">
      <c r="B15" s="10" t="s">
        <v>44</v>
      </c>
      <c r="C15" s="56">
        <f>C14*15%</f>
        <v>9000000</v>
      </c>
      <c r="D15" s="63">
        <v>1</v>
      </c>
      <c r="E15" s="60">
        <v>24</v>
      </c>
      <c r="F15" s="18" t="str">
        <f t="shared" si="93"/>
        <v>OK</v>
      </c>
      <c r="G15" s="19">
        <f t="shared" si="94"/>
        <v>375000</v>
      </c>
      <c r="H15" s="19">
        <f t="shared" si="95"/>
        <v>375000</v>
      </c>
      <c r="I15" s="19">
        <f t="shared" si="95"/>
        <v>375000</v>
      </c>
      <c r="J15" s="19">
        <f t="shared" si="95"/>
        <v>375000</v>
      </c>
      <c r="K15" s="19">
        <f t="shared" si="95"/>
        <v>375000</v>
      </c>
      <c r="L15" s="19">
        <f t="shared" si="95"/>
        <v>375000</v>
      </c>
      <c r="M15" s="19">
        <f t="shared" si="95"/>
        <v>375000</v>
      </c>
      <c r="N15" s="19">
        <f t="shared" si="95"/>
        <v>375000</v>
      </c>
      <c r="O15" s="19">
        <f t="shared" si="95"/>
        <v>375000</v>
      </c>
      <c r="P15" s="19">
        <f t="shared" si="95"/>
        <v>375000</v>
      </c>
      <c r="Q15" s="19">
        <f t="shared" si="95"/>
        <v>375000</v>
      </c>
      <c r="R15" s="19">
        <f t="shared" si="95"/>
        <v>375000</v>
      </c>
      <c r="S15" s="19">
        <f t="shared" si="95"/>
        <v>375000</v>
      </c>
      <c r="T15" s="19">
        <f t="shared" si="95"/>
        <v>375000</v>
      </c>
      <c r="U15" s="19">
        <f t="shared" si="95"/>
        <v>375000</v>
      </c>
      <c r="V15" s="19">
        <f t="shared" si="95"/>
        <v>375000</v>
      </c>
      <c r="W15" s="19">
        <f t="shared" si="95"/>
        <v>375000</v>
      </c>
      <c r="X15" s="19">
        <f t="shared" si="95"/>
        <v>375000</v>
      </c>
      <c r="Y15" s="19">
        <f t="shared" si="95"/>
        <v>375000</v>
      </c>
      <c r="Z15" s="19">
        <f t="shared" si="95"/>
        <v>375000</v>
      </c>
      <c r="AA15" s="19">
        <f t="shared" si="95"/>
        <v>375000</v>
      </c>
      <c r="AB15" s="19">
        <f t="shared" si="95"/>
        <v>375000</v>
      </c>
      <c r="AC15" s="19">
        <f t="shared" si="95"/>
        <v>375000</v>
      </c>
      <c r="AD15" s="19">
        <f t="shared" si="95"/>
        <v>375000</v>
      </c>
      <c r="AE15" s="19">
        <f t="shared" si="95"/>
        <v>0</v>
      </c>
      <c r="AF15" s="19">
        <f t="shared" si="95"/>
        <v>0</v>
      </c>
      <c r="AG15" s="19">
        <f t="shared" si="95"/>
        <v>0</v>
      </c>
      <c r="AH15" s="19">
        <f t="shared" si="95"/>
        <v>0</v>
      </c>
      <c r="AI15" s="19">
        <f t="shared" si="95"/>
        <v>0</v>
      </c>
      <c r="AJ15" s="19">
        <f t="shared" si="95"/>
        <v>0</v>
      </c>
      <c r="AK15" s="19">
        <f t="shared" si="95"/>
        <v>0</v>
      </c>
      <c r="AL15" s="19">
        <f t="shared" si="95"/>
        <v>0</v>
      </c>
      <c r="AM15" s="19">
        <f t="shared" si="95"/>
        <v>0</v>
      </c>
      <c r="AN15" s="19">
        <f t="shared" si="95"/>
        <v>0</v>
      </c>
      <c r="AO15" s="19">
        <f t="shared" si="95"/>
        <v>0</v>
      </c>
      <c r="AP15" s="19">
        <f t="shared" si="95"/>
        <v>0</v>
      </c>
      <c r="AQ15" s="19">
        <f t="shared" si="95"/>
        <v>0</v>
      </c>
      <c r="AR15" s="19">
        <f t="shared" si="95"/>
        <v>0</v>
      </c>
      <c r="AS15" s="19">
        <f t="shared" si="95"/>
        <v>0</v>
      </c>
      <c r="AT15" s="19">
        <f t="shared" si="95"/>
        <v>0</v>
      </c>
      <c r="AU15" s="19">
        <f t="shared" si="95"/>
        <v>0</v>
      </c>
      <c r="AV15" s="19">
        <f t="shared" si="95"/>
        <v>0</v>
      </c>
      <c r="AW15" s="19">
        <f t="shared" si="95"/>
        <v>0</v>
      </c>
      <c r="AX15" s="19">
        <f t="shared" si="95"/>
        <v>0</v>
      </c>
      <c r="AY15" s="19">
        <f t="shared" si="95"/>
        <v>0</v>
      </c>
      <c r="AZ15" s="19">
        <f t="shared" si="95"/>
        <v>0</v>
      </c>
      <c r="BA15" s="19">
        <f t="shared" si="95"/>
        <v>0</v>
      </c>
      <c r="BB15" s="19">
        <f t="shared" si="95"/>
        <v>0</v>
      </c>
      <c r="BC15" s="19">
        <f t="shared" si="95"/>
        <v>0</v>
      </c>
      <c r="BD15" s="19">
        <f t="shared" si="95"/>
        <v>0</v>
      </c>
      <c r="BE15" s="19">
        <f t="shared" si="95"/>
        <v>0</v>
      </c>
      <c r="BF15" s="19">
        <f t="shared" si="95"/>
        <v>0</v>
      </c>
      <c r="BG15" s="19">
        <f t="shared" si="95"/>
        <v>0</v>
      </c>
      <c r="BH15" s="19">
        <f t="shared" si="95"/>
        <v>0</v>
      </c>
      <c r="BI15" s="19">
        <f t="shared" si="95"/>
        <v>0</v>
      </c>
      <c r="BJ15" s="19">
        <f t="shared" si="95"/>
        <v>0</v>
      </c>
      <c r="BK15" s="19">
        <f t="shared" si="95"/>
        <v>0</v>
      </c>
      <c r="BL15" s="19">
        <f t="shared" si="95"/>
        <v>0</v>
      </c>
      <c r="BM15" s="19">
        <f t="shared" si="95"/>
        <v>0</v>
      </c>
      <c r="BN15" s="19">
        <f t="shared" si="95"/>
        <v>0</v>
      </c>
      <c r="BO15" s="19">
        <f t="shared" si="95"/>
        <v>0</v>
      </c>
      <c r="BP15" s="19">
        <f t="shared" si="95"/>
        <v>0</v>
      </c>
      <c r="BQ15" s="19">
        <f t="shared" si="95"/>
        <v>0</v>
      </c>
      <c r="BR15" s="19">
        <f t="shared" si="95"/>
        <v>0</v>
      </c>
      <c r="BS15" s="19">
        <f t="shared" si="95"/>
        <v>0</v>
      </c>
      <c r="BT15" s="19">
        <f t="shared" si="92"/>
        <v>0</v>
      </c>
      <c r="BU15" s="19">
        <f t="shared" si="92"/>
        <v>0</v>
      </c>
      <c r="BV15" s="19">
        <f t="shared" si="92"/>
        <v>0</v>
      </c>
      <c r="BW15" s="19">
        <f t="shared" si="92"/>
        <v>0</v>
      </c>
      <c r="BX15" s="19">
        <f t="shared" si="92"/>
        <v>0</v>
      </c>
      <c r="BY15" s="19">
        <f t="shared" si="92"/>
        <v>0</v>
      </c>
      <c r="BZ15" s="19">
        <f t="shared" si="92"/>
        <v>0</v>
      </c>
      <c r="CA15" s="19">
        <f t="shared" si="92"/>
        <v>0</v>
      </c>
      <c r="CB15" s="19">
        <f t="shared" si="92"/>
        <v>0</v>
      </c>
      <c r="CC15" s="19">
        <f t="shared" si="92"/>
        <v>0</v>
      </c>
      <c r="CD15" s="19">
        <f t="shared" si="92"/>
        <v>0</v>
      </c>
      <c r="CE15" s="19">
        <f t="shared" si="92"/>
        <v>0</v>
      </c>
      <c r="CF15" s="19">
        <f t="shared" si="92"/>
        <v>0</v>
      </c>
      <c r="CG15" s="19">
        <f t="shared" si="92"/>
        <v>0</v>
      </c>
      <c r="CH15" s="19">
        <f t="shared" si="92"/>
        <v>0</v>
      </c>
      <c r="CI15" s="19">
        <f t="shared" si="92"/>
        <v>0</v>
      </c>
      <c r="CJ15" s="19">
        <f t="shared" si="92"/>
        <v>0</v>
      </c>
      <c r="CK15" s="19">
        <f t="shared" si="92"/>
        <v>0</v>
      </c>
      <c r="CL15" s="19">
        <f t="shared" si="92"/>
        <v>0</v>
      </c>
      <c r="CM15" s="19">
        <f t="shared" si="92"/>
        <v>0</v>
      </c>
      <c r="CN15" s="19">
        <f t="shared" si="92"/>
        <v>0</v>
      </c>
      <c r="CO15" s="19">
        <f t="shared" si="92"/>
        <v>0</v>
      </c>
      <c r="CP15" s="19">
        <f t="shared" si="92"/>
        <v>0</v>
      </c>
      <c r="CQ15" s="19">
        <f t="shared" si="92"/>
        <v>0</v>
      </c>
      <c r="CR15" s="19">
        <f t="shared" si="92"/>
        <v>0</v>
      </c>
    </row>
    <row r="16" spans="2:96" x14ac:dyDescent="0.3">
      <c r="B16" s="10" t="s">
        <v>45</v>
      </c>
      <c r="C16" s="56">
        <f>$C$9/2*60</f>
        <v>6000000</v>
      </c>
      <c r="D16" s="63">
        <v>25</v>
      </c>
      <c r="E16" s="60">
        <v>25</v>
      </c>
      <c r="F16" s="18" t="str">
        <f t="shared" si="93"/>
        <v>OK</v>
      </c>
      <c r="G16" s="19">
        <f t="shared" si="94"/>
        <v>0</v>
      </c>
      <c r="H16" s="19">
        <f t="shared" si="95"/>
        <v>0</v>
      </c>
      <c r="I16" s="19">
        <f t="shared" si="95"/>
        <v>0</v>
      </c>
      <c r="J16" s="19">
        <f t="shared" si="95"/>
        <v>0</v>
      </c>
      <c r="K16" s="19">
        <f t="shared" si="95"/>
        <v>0</v>
      </c>
      <c r="L16" s="19">
        <f t="shared" si="95"/>
        <v>0</v>
      </c>
      <c r="M16" s="19">
        <f t="shared" si="95"/>
        <v>0</v>
      </c>
      <c r="N16" s="19">
        <f t="shared" si="95"/>
        <v>0</v>
      </c>
      <c r="O16" s="19">
        <f t="shared" si="95"/>
        <v>0</v>
      </c>
      <c r="P16" s="19">
        <f t="shared" si="95"/>
        <v>0</v>
      </c>
      <c r="Q16" s="19">
        <f t="shared" si="95"/>
        <v>0</v>
      </c>
      <c r="R16" s="19">
        <f t="shared" si="95"/>
        <v>0</v>
      </c>
      <c r="S16" s="19">
        <f t="shared" si="95"/>
        <v>0</v>
      </c>
      <c r="T16" s="19">
        <f t="shared" si="95"/>
        <v>0</v>
      </c>
      <c r="U16" s="19">
        <f t="shared" si="95"/>
        <v>0</v>
      </c>
      <c r="V16" s="19">
        <f t="shared" si="95"/>
        <v>0</v>
      </c>
      <c r="W16" s="19">
        <f t="shared" si="95"/>
        <v>0</v>
      </c>
      <c r="X16" s="19">
        <f t="shared" si="95"/>
        <v>0</v>
      </c>
      <c r="Y16" s="19">
        <f t="shared" si="95"/>
        <v>0</v>
      </c>
      <c r="Z16" s="19">
        <f t="shared" si="95"/>
        <v>0</v>
      </c>
      <c r="AA16" s="19">
        <f t="shared" si="95"/>
        <v>0</v>
      </c>
      <c r="AB16" s="19">
        <f t="shared" si="95"/>
        <v>0</v>
      </c>
      <c r="AC16" s="19">
        <f t="shared" si="95"/>
        <v>0</v>
      </c>
      <c r="AD16" s="19">
        <f t="shared" si="95"/>
        <v>0</v>
      </c>
      <c r="AE16" s="19">
        <f t="shared" si="95"/>
        <v>6000000</v>
      </c>
      <c r="AF16" s="19">
        <f t="shared" si="95"/>
        <v>0</v>
      </c>
      <c r="AG16" s="19">
        <f t="shared" si="95"/>
        <v>0</v>
      </c>
      <c r="AH16" s="19">
        <f t="shared" si="95"/>
        <v>0</v>
      </c>
      <c r="AI16" s="19">
        <f t="shared" si="95"/>
        <v>0</v>
      </c>
      <c r="AJ16" s="19">
        <f t="shared" si="95"/>
        <v>0</v>
      </c>
      <c r="AK16" s="19">
        <f t="shared" si="95"/>
        <v>0</v>
      </c>
      <c r="AL16" s="19">
        <f t="shared" si="95"/>
        <v>0</v>
      </c>
      <c r="AM16" s="19">
        <f t="shared" si="95"/>
        <v>0</v>
      </c>
      <c r="AN16" s="19">
        <f t="shared" si="95"/>
        <v>0</v>
      </c>
      <c r="AO16" s="19">
        <f t="shared" si="95"/>
        <v>0</v>
      </c>
      <c r="AP16" s="19">
        <f t="shared" si="95"/>
        <v>0</v>
      </c>
      <c r="AQ16" s="19">
        <f t="shared" si="95"/>
        <v>0</v>
      </c>
      <c r="AR16" s="19">
        <f t="shared" si="95"/>
        <v>0</v>
      </c>
      <c r="AS16" s="19">
        <f t="shared" si="95"/>
        <v>0</v>
      </c>
      <c r="AT16" s="19">
        <f t="shared" si="95"/>
        <v>0</v>
      </c>
      <c r="AU16" s="19">
        <f t="shared" si="95"/>
        <v>0</v>
      </c>
      <c r="AV16" s="19">
        <f t="shared" si="95"/>
        <v>0</v>
      </c>
      <c r="AW16" s="19">
        <f t="shared" si="95"/>
        <v>0</v>
      </c>
      <c r="AX16" s="19">
        <f t="shared" si="95"/>
        <v>0</v>
      </c>
      <c r="AY16" s="19">
        <f t="shared" si="95"/>
        <v>0</v>
      </c>
      <c r="AZ16" s="19">
        <f t="shared" si="95"/>
        <v>0</v>
      </c>
      <c r="BA16" s="19">
        <f t="shared" si="95"/>
        <v>0</v>
      </c>
      <c r="BB16" s="19">
        <f t="shared" si="95"/>
        <v>0</v>
      </c>
      <c r="BC16" s="19">
        <f t="shared" si="95"/>
        <v>0</v>
      </c>
      <c r="BD16" s="19">
        <f t="shared" si="95"/>
        <v>0</v>
      </c>
      <c r="BE16" s="19">
        <f t="shared" si="95"/>
        <v>0</v>
      </c>
      <c r="BF16" s="19">
        <f t="shared" si="95"/>
        <v>0</v>
      </c>
      <c r="BG16" s="19">
        <f t="shared" si="95"/>
        <v>0</v>
      </c>
      <c r="BH16" s="19">
        <f t="shared" si="95"/>
        <v>0</v>
      </c>
      <c r="BI16" s="19">
        <f t="shared" si="95"/>
        <v>0</v>
      </c>
      <c r="BJ16" s="19">
        <f t="shared" si="95"/>
        <v>0</v>
      </c>
      <c r="BK16" s="19">
        <f t="shared" si="95"/>
        <v>0</v>
      </c>
      <c r="BL16" s="19">
        <f t="shared" si="95"/>
        <v>0</v>
      </c>
      <c r="BM16" s="19">
        <f t="shared" si="95"/>
        <v>0</v>
      </c>
      <c r="BN16" s="19">
        <f t="shared" si="95"/>
        <v>0</v>
      </c>
      <c r="BO16" s="19">
        <f t="shared" si="95"/>
        <v>0</v>
      </c>
      <c r="BP16" s="19">
        <f t="shared" si="95"/>
        <v>0</v>
      </c>
      <c r="BQ16" s="19">
        <f t="shared" si="95"/>
        <v>0</v>
      </c>
      <c r="BR16" s="19">
        <f t="shared" si="95"/>
        <v>0</v>
      </c>
      <c r="BS16" s="19">
        <f t="shared" si="95"/>
        <v>0</v>
      </c>
      <c r="BT16" s="19">
        <f t="shared" si="92"/>
        <v>0</v>
      </c>
      <c r="BU16" s="19">
        <f t="shared" si="92"/>
        <v>0</v>
      </c>
      <c r="BV16" s="19">
        <f t="shared" si="92"/>
        <v>0</v>
      </c>
      <c r="BW16" s="19">
        <f t="shared" si="92"/>
        <v>0</v>
      </c>
      <c r="BX16" s="19">
        <f t="shared" si="92"/>
        <v>0</v>
      </c>
      <c r="BY16" s="19">
        <f t="shared" si="92"/>
        <v>0</v>
      </c>
      <c r="BZ16" s="19">
        <f t="shared" si="92"/>
        <v>0</v>
      </c>
      <c r="CA16" s="19">
        <f t="shared" si="92"/>
        <v>0</v>
      </c>
      <c r="CB16" s="19">
        <f t="shared" si="92"/>
        <v>0</v>
      </c>
      <c r="CC16" s="19">
        <f t="shared" si="92"/>
        <v>0</v>
      </c>
      <c r="CD16" s="19">
        <f t="shared" si="92"/>
        <v>0</v>
      </c>
      <c r="CE16" s="19">
        <f t="shared" si="92"/>
        <v>0</v>
      </c>
      <c r="CF16" s="19">
        <f t="shared" si="92"/>
        <v>0</v>
      </c>
      <c r="CG16" s="19">
        <f t="shared" si="92"/>
        <v>0</v>
      </c>
      <c r="CH16" s="19">
        <f t="shared" si="92"/>
        <v>0</v>
      </c>
      <c r="CI16" s="19">
        <f t="shared" si="92"/>
        <v>0</v>
      </c>
      <c r="CJ16" s="19">
        <f t="shared" si="92"/>
        <v>0</v>
      </c>
      <c r="CK16" s="19">
        <f t="shared" si="92"/>
        <v>0</v>
      </c>
      <c r="CL16" s="19">
        <f t="shared" si="92"/>
        <v>0</v>
      </c>
      <c r="CM16" s="19">
        <f t="shared" si="92"/>
        <v>0</v>
      </c>
      <c r="CN16" s="19">
        <f t="shared" si="92"/>
        <v>0</v>
      </c>
      <c r="CO16" s="19">
        <f t="shared" si="92"/>
        <v>0</v>
      </c>
      <c r="CP16" s="19">
        <f t="shared" si="92"/>
        <v>0</v>
      </c>
      <c r="CQ16" s="19">
        <f t="shared" si="92"/>
        <v>0</v>
      </c>
      <c r="CR16" s="19">
        <f t="shared" si="92"/>
        <v>0</v>
      </c>
    </row>
    <row r="17" spans="2:96" x14ac:dyDescent="0.3">
      <c r="B17" s="10" t="s">
        <v>46</v>
      </c>
      <c r="C17" s="56">
        <f>$C$9/2*60</f>
        <v>6000000</v>
      </c>
      <c r="D17" s="63">
        <v>30</v>
      </c>
      <c r="E17" s="60">
        <v>30</v>
      </c>
      <c r="F17" s="18" t="str">
        <f t="shared" si="93"/>
        <v>OK</v>
      </c>
      <c r="G17" s="19">
        <f t="shared" si="94"/>
        <v>0</v>
      </c>
      <c r="H17" s="19">
        <f t="shared" si="95"/>
        <v>0</v>
      </c>
      <c r="I17" s="19">
        <f t="shared" si="95"/>
        <v>0</v>
      </c>
      <c r="J17" s="19">
        <f t="shared" si="95"/>
        <v>0</v>
      </c>
      <c r="K17" s="19">
        <f t="shared" si="95"/>
        <v>0</v>
      </c>
      <c r="L17" s="19">
        <f t="shared" si="95"/>
        <v>0</v>
      </c>
      <c r="M17" s="19">
        <f t="shared" si="95"/>
        <v>0</v>
      </c>
      <c r="N17" s="19">
        <f t="shared" si="95"/>
        <v>0</v>
      </c>
      <c r="O17" s="19">
        <f t="shared" si="95"/>
        <v>0</v>
      </c>
      <c r="P17" s="19">
        <f t="shared" si="95"/>
        <v>0</v>
      </c>
      <c r="Q17" s="19">
        <f t="shared" si="95"/>
        <v>0</v>
      </c>
      <c r="R17" s="19">
        <f t="shared" si="95"/>
        <v>0</v>
      </c>
      <c r="S17" s="19">
        <f t="shared" si="95"/>
        <v>0</v>
      </c>
      <c r="T17" s="19">
        <f t="shared" si="95"/>
        <v>0</v>
      </c>
      <c r="U17" s="19">
        <f t="shared" si="95"/>
        <v>0</v>
      </c>
      <c r="V17" s="19">
        <f t="shared" si="95"/>
        <v>0</v>
      </c>
      <c r="W17" s="19">
        <f t="shared" si="95"/>
        <v>0</v>
      </c>
      <c r="X17" s="19">
        <f t="shared" si="95"/>
        <v>0</v>
      </c>
      <c r="Y17" s="19">
        <f t="shared" si="95"/>
        <v>0</v>
      </c>
      <c r="Z17" s="19">
        <f t="shared" si="95"/>
        <v>0</v>
      </c>
      <c r="AA17" s="19">
        <f t="shared" si="95"/>
        <v>0</v>
      </c>
      <c r="AB17" s="19">
        <f t="shared" si="95"/>
        <v>0</v>
      </c>
      <c r="AC17" s="19">
        <f t="shared" si="95"/>
        <v>0</v>
      </c>
      <c r="AD17" s="19">
        <f t="shared" si="95"/>
        <v>0</v>
      </c>
      <c r="AE17" s="19">
        <f t="shared" si="95"/>
        <v>0</v>
      </c>
      <c r="AF17" s="19">
        <f t="shared" si="95"/>
        <v>0</v>
      </c>
      <c r="AG17" s="19">
        <f t="shared" si="95"/>
        <v>0</v>
      </c>
      <c r="AH17" s="19">
        <f t="shared" si="95"/>
        <v>0</v>
      </c>
      <c r="AI17" s="19">
        <f t="shared" si="95"/>
        <v>0</v>
      </c>
      <c r="AJ17" s="19">
        <f t="shared" si="95"/>
        <v>6000000</v>
      </c>
      <c r="AK17" s="19">
        <f t="shared" si="95"/>
        <v>0</v>
      </c>
      <c r="AL17" s="19">
        <f t="shared" si="95"/>
        <v>0</v>
      </c>
      <c r="AM17" s="19">
        <f t="shared" si="95"/>
        <v>0</v>
      </c>
      <c r="AN17" s="19">
        <f t="shared" si="95"/>
        <v>0</v>
      </c>
      <c r="AO17" s="19">
        <f t="shared" si="95"/>
        <v>0</v>
      </c>
      <c r="AP17" s="19">
        <f t="shared" si="95"/>
        <v>0</v>
      </c>
      <c r="AQ17" s="19">
        <f t="shared" si="95"/>
        <v>0</v>
      </c>
      <c r="AR17" s="19">
        <f t="shared" si="95"/>
        <v>0</v>
      </c>
      <c r="AS17" s="19">
        <f t="shared" si="95"/>
        <v>0</v>
      </c>
      <c r="AT17" s="19">
        <f t="shared" si="95"/>
        <v>0</v>
      </c>
      <c r="AU17" s="19">
        <f t="shared" si="95"/>
        <v>0</v>
      </c>
      <c r="AV17" s="19">
        <f t="shared" si="95"/>
        <v>0</v>
      </c>
      <c r="AW17" s="19">
        <f t="shared" si="95"/>
        <v>0</v>
      </c>
      <c r="AX17" s="19">
        <f t="shared" si="95"/>
        <v>0</v>
      </c>
      <c r="AY17" s="19">
        <f t="shared" si="95"/>
        <v>0</v>
      </c>
      <c r="AZ17" s="19">
        <f t="shared" si="95"/>
        <v>0</v>
      </c>
      <c r="BA17" s="19">
        <f t="shared" si="95"/>
        <v>0</v>
      </c>
      <c r="BB17" s="19">
        <f t="shared" si="95"/>
        <v>0</v>
      </c>
      <c r="BC17" s="19">
        <f t="shared" si="95"/>
        <v>0</v>
      </c>
      <c r="BD17" s="19">
        <f t="shared" si="95"/>
        <v>0</v>
      </c>
      <c r="BE17" s="19">
        <f t="shared" si="95"/>
        <v>0</v>
      </c>
      <c r="BF17" s="19">
        <f t="shared" si="95"/>
        <v>0</v>
      </c>
      <c r="BG17" s="19">
        <f t="shared" si="95"/>
        <v>0</v>
      </c>
      <c r="BH17" s="19">
        <f t="shared" si="95"/>
        <v>0</v>
      </c>
      <c r="BI17" s="19">
        <f t="shared" si="95"/>
        <v>0</v>
      </c>
      <c r="BJ17" s="19">
        <f t="shared" si="95"/>
        <v>0</v>
      </c>
      <c r="BK17" s="19">
        <f t="shared" si="95"/>
        <v>0</v>
      </c>
      <c r="BL17" s="19">
        <f t="shared" si="95"/>
        <v>0</v>
      </c>
      <c r="BM17" s="19">
        <f t="shared" si="95"/>
        <v>0</v>
      </c>
      <c r="BN17" s="19">
        <f t="shared" si="95"/>
        <v>0</v>
      </c>
      <c r="BO17" s="19">
        <f t="shared" si="95"/>
        <v>0</v>
      </c>
      <c r="BP17" s="19">
        <f t="shared" si="95"/>
        <v>0</v>
      </c>
      <c r="BQ17" s="19">
        <f t="shared" si="95"/>
        <v>0</v>
      </c>
      <c r="BR17" s="19">
        <f t="shared" si="95"/>
        <v>0</v>
      </c>
      <c r="BS17" s="19">
        <f t="shared" ref="BS17:CR19" si="96">AND(BS$7&gt;=$D17,BS$7&lt;=$E17)*($C17/($E17-$D17+1))</f>
        <v>0</v>
      </c>
      <c r="BT17" s="19">
        <f t="shared" si="96"/>
        <v>0</v>
      </c>
      <c r="BU17" s="19">
        <f t="shared" si="96"/>
        <v>0</v>
      </c>
      <c r="BV17" s="19">
        <f t="shared" si="96"/>
        <v>0</v>
      </c>
      <c r="BW17" s="19">
        <f t="shared" si="96"/>
        <v>0</v>
      </c>
      <c r="BX17" s="19">
        <f t="shared" si="96"/>
        <v>0</v>
      </c>
      <c r="BY17" s="19">
        <f t="shared" si="96"/>
        <v>0</v>
      </c>
      <c r="BZ17" s="19">
        <f t="shared" si="96"/>
        <v>0</v>
      </c>
      <c r="CA17" s="19">
        <f t="shared" si="96"/>
        <v>0</v>
      </c>
      <c r="CB17" s="19">
        <f t="shared" si="96"/>
        <v>0</v>
      </c>
      <c r="CC17" s="19">
        <f t="shared" si="96"/>
        <v>0</v>
      </c>
      <c r="CD17" s="19">
        <f t="shared" si="96"/>
        <v>0</v>
      </c>
      <c r="CE17" s="19">
        <f t="shared" si="96"/>
        <v>0</v>
      </c>
      <c r="CF17" s="19">
        <f t="shared" si="96"/>
        <v>0</v>
      </c>
      <c r="CG17" s="19">
        <f t="shared" si="96"/>
        <v>0</v>
      </c>
      <c r="CH17" s="19">
        <f t="shared" si="96"/>
        <v>0</v>
      </c>
      <c r="CI17" s="19">
        <f t="shared" si="96"/>
        <v>0</v>
      </c>
      <c r="CJ17" s="19">
        <f t="shared" si="96"/>
        <v>0</v>
      </c>
      <c r="CK17" s="19">
        <f t="shared" si="96"/>
        <v>0</v>
      </c>
      <c r="CL17" s="19">
        <f t="shared" si="96"/>
        <v>0</v>
      </c>
      <c r="CM17" s="19">
        <f t="shared" si="96"/>
        <v>0</v>
      </c>
      <c r="CN17" s="19">
        <f t="shared" si="96"/>
        <v>0</v>
      </c>
      <c r="CO17" s="19">
        <f t="shared" si="96"/>
        <v>0</v>
      </c>
      <c r="CP17" s="19">
        <f t="shared" si="96"/>
        <v>0</v>
      </c>
      <c r="CQ17" s="19">
        <f t="shared" si="96"/>
        <v>0</v>
      </c>
      <c r="CR17" s="19">
        <f t="shared" si="96"/>
        <v>0</v>
      </c>
    </row>
    <row r="18" spans="2:96" x14ac:dyDescent="0.3">
      <c r="B18" s="10" t="s">
        <v>47</v>
      </c>
      <c r="C18" s="56">
        <f>$C$9/2*18</f>
        <v>1800000</v>
      </c>
      <c r="D18" s="63">
        <v>19</v>
      </c>
      <c r="E18" s="60">
        <v>19</v>
      </c>
      <c r="F18" s="18" t="str">
        <f t="shared" si="93"/>
        <v>OK</v>
      </c>
      <c r="G18" s="19">
        <f t="shared" si="94"/>
        <v>0</v>
      </c>
      <c r="H18" s="19">
        <f t="shared" ref="H18:BS19" si="97">AND(H$7&gt;=$D18,H$7&lt;=$E18)*($C18/($E18-$D18+1))</f>
        <v>0</v>
      </c>
      <c r="I18" s="19">
        <f t="shared" si="97"/>
        <v>0</v>
      </c>
      <c r="J18" s="19">
        <f t="shared" si="97"/>
        <v>0</v>
      </c>
      <c r="K18" s="19">
        <f t="shared" si="97"/>
        <v>0</v>
      </c>
      <c r="L18" s="19">
        <f t="shared" si="97"/>
        <v>0</v>
      </c>
      <c r="M18" s="19">
        <f t="shared" si="97"/>
        <v>0</v>
      </c>
      <c r="N18" s="19">
        <f t="shared" si="97"/>
        <v>0</v>
      </c>
      <c r="O18" s="19">
        <f t="shared" si="97"/>
        <v>0</v>
      </c>
      <c r="P18" s="19">
        <f t="shared" si="97"/>
        <v>0</v>
      </c>
      <c r="Q18" s="19">
        <f t="shared" si="97"/>
        <v>0</v>
      </c>
      <c r="R18" s="19">
        <f t="shared" si="97"/>
        <v>0</v>
      </c>
      <c r="S18" s="19">
        <f t="shared" si="97"/>
        <v>0</v>
      </c>
      <c r="T18" s="19">
        <f t="shared" si="97"/>
        <v>0</v>
      </c>
      <c r="U18" s="19">
        <f t="shared" si="97"/>
        <v>0</v>
      </c>
      <c r="V18" s="19">
        <f t="shared" si="97"/>
        <v>0</v>
      </c>
      <c r="W18" s="19">
        <f t="shared" si="97"/>
        <v>0</v>
      </c>
      <c r="X18" s="19">
        <f t="shared" si="97"/>
        <v>0</v>
      </c>
      <c r="Y18" s="19">
        <f t="shared" si="97"/>
        <v>1800000</v>
      </c>
      <c r="Z18" s="19">
        <f t="shared" si="97"/>
        <v>0</v>
      </c>
      <c r="AA18" s="19">
        <f t="shared" si="97"/>
        <v>0</v>
      </c>
      <c r="AB18" s="19">
        <f t="shared" si="97"/>
        <v>0</v>
      </c>
      <c r="AC18" s="19">
        <f t="shared" si="97"/>
        <v>0</v>
      </c>
      <c r="AD18" s="19">
        <f t="shared" si="97"/>
        <v>0</v>
      </c>
      <c r="AE18" s="19">
        <f t="shared" si="97"/>
        <v>0</v>
      </c>
      <c r="AF18" s="19">
        <f t="shared" si="97"/>
        <v>0</v>
      </c>
      <c r="AG18" s="19">
        <f t="shared" si="97"/>
        <v>0</v>
      </c>
      <c r="AH18" s="19">
        <f t="shared" si="97"/>
        <v>0</v>
      </c>
      <c r="AI18" s="19">
        <f t="shared" si="97"/>
        <v>0</v>
      </c>
      <c r="AJ18" s="19">
        <f t="shared" si="97"/>
        <v>0</v>
      </c>
      <c r="AK18" s="19">
        <f t="shared" si="97"/>
        <v>0</v>
      </c>
      <c r="AL18" s="19">
        <f t="shared" si="97"/>
        <v>0</v>
      </c>
      <c r="AM18" s="19">
        <f t="shared" si="97"/>
        <v>0</v>
      </c>
      <c r="AN18" s="19">
        <f t="shared" si="97"/>
        <v>0</v>
      </c>
      <c r="AO18" s="19">
        <f t="shared" si="97"/>
        <v>0</v>
      </c>
      <c r="AP18" s="19">
        <f t="shared" si="97"/>
        <v>0</v>
      </c>
      <c r="AQ18" s="19">
        <f t="shared" si="97"/>
        <v>0</v>
      </c>
      <c r="AR18" s="19">
        <f t="shared" si="97"/>
        <v>0</v>
      </c>
      <c r="AS18" s="19">
        <f t="shared" si="97"/>
        <v>0</v>
      </c>
      <c r="AT18" s="19">
        <f t="shared" si="97"/>
        <v>0</v>
      </c>
      <c r="AU18" s="19">
        <f t="shared" si="97"/>
        <v>0</v>
      </c>
      <c r="AV18" s="19">
        <f t="shared" si="97"/>
        <v>0</v>
      </c>
      <c r="AW18" s="19">
        <f t="shared" si="97"/>
        <v>0</v>
      </c>
      <c r="AX18" s="19">
        <f t="shared" si="97"/>
        <v>0</v>
      </c>
      <c r="AY18" s="19">
        <f t="shared" si="97"/>
        <v>0</v>
      </c>
      <c r="AZ18" s="19">
        <f t="shared" si="97"/>
        <v>0</v>
      </c>
      <c r="BA18" s="19">
        <f t="shared" si="97"/>
        <v>0</v>
      </c>
      <c r="BB18" s="19">
        <f t="shared" si="97"/>
        <v>0</v>
      </c>
      <c r="BC18" s="19">
        <f t="shared" si="97"/>
        <v>0</v>
      </c>
      <c r="BD18" s="19">
        <f t="shared" si="97"/>
        <v>0</v>
      </c>
      <c r="BE18" s="19">
        <f t="shared" si="97"/>
        <v>0</v>
      </c>
      <c r="BF18" s="19">
        <f t="shared" si="97"/>
        <v>0</v>
      </c>
      <c r="BG18" s="19">
        <f t="shared" si="97"/>
        <v>0</v>
      </c>
      <c r="BH18" s="19">
        <f t="shared" si="97"/>
        <v>0</v>
      </c>
      <c r="BI18" s="19">
        <f t="shared" si="97"/>
        <v>0</v>
      </c>
      <c r="BJ18" s="19">
        <f t="shared" si="97"/>
        <v>0</v>
      </c>
      <c r="BK18" s="19">
        <f t="shared" si="97"/>
        <v>0</v>
      </c>
      <c r="BL18" s="19">
        <f t="shared" si="97"/>
        <v>0</v>
      </c>
      <c r="BM18" s="19">
        <f t="shared" si="97"/>
        <v>0</v>
      </c>
      <c r="BN18" s="19">
        <f t="shared" si="97"/>
        <v>0</v>
      </c>
      <c r="BO18" s="19">
        <f t="shared" si="97"/>
        <v>0</v>
      </c>
      <c r="BP18" s="19">
        <f t="shared" si="97"/>
        <v>0</v>
      </c>
      <c r="BQ18" s="19">
        <f t="shared" si="97"/>
        <v>0</v>
      </c>
      <c r="BR18" s="19">
        <f t="shared" si="97"/>
        <v>0</v>
      </c>
      <c r="BS18" s="19">
        <f t="shared" si="97"/>
        <v>0</v>
      </c>
      <c r="BT18" s="19">
        <f t="shared" si="96"/>
        <v>0</v>
      </c>
      <c r="BU18" s="19">
        <f t="shared" si="96"/>
        <v>0</v>
      </c>
      <c r="BV18" s="19">
        <f t="shared" si="96"/>
        <v>0</v>
      </c>
      <c r="BW18" s="19">
        <f t="shared" si="96"/>
        <v>0</v>
      </c>
      <c r="BX18" s="19">
        <f t="shared" si="96"/>
        <v>0</v>
      </c>
      <c r="BY18" s="19">
        <f t="shared" si="96"/>
        <v>0</v>
      </c>
      <c r="BZ18" s="19">
        <f t="shared" si="96"/>
        <v>0</v>
      </c>
      <c r="CA18" s="19">
        <f t="shared" si="96"/>
        <v>0</v>
      </c>
      <c r="CB18" s="19">
        <f t="shared" si="96"/>
        <v>0</v>
      </c>
      <c r="CC18" s="19">
        <f t="shared" si="96"/>
        <v>0</v>
      </c>
      <c r="CD18" s="19">
        <f t="shared" si="96"/>
        <v>0</v>
      </c>
      <c r="CE18" s="19">
        <f t="shared" si="96"/>
        <v>0</v>
      </c>
      <c r="CF18" s="19">
        <f t="shared" si="96"/>
        <v>0</v>
      </c>
      <c r="CG18" s="19">
        <f t="shared" si="96"/>
        <v>0</v>
      </c>
      <c r="CH18" s="19">
        <f t="shared" si="96"/>
        <v>0</v>
      </c>
      <c r="CI18" s="19">
        <f t="shared" si="96"/>
        <v>0</v>
      </c>
      <c r="CJ18" s="19">
        <f t="shared" si="96"/>
        <v>0</v>
      </c>
      <c r="CK18" s="19">
        <f t="shared" si="96"/>
        <v>0</v>
      </c>
      <c r="CL18" s="19">
        <f t="shared" si="96"/>
        <v>0</v>
      </c>
      <c r="CM18" s="19">
        <f t="shared" si="96"/>
        <v>0</v>
      </c>
      <c r="CN18" s="19">
        <f t="shared" si="96"/>
        <v>0</v>
      </c>
      <c r="CO18" s="19">
        <f t="shared" si="96"/>
        <v>0</v>
      </c>
      <c r="CP18" s="19">
        <f t="shared" si="96"/>
        <v>0</v>
      </c>
      <c r="CQ18" s="19">
        <f t="shared" si="96"/>
        <v>0</v>
      </c>
      <c r="CR18" s="19">
        <f t="shared" si="96"/>
        <v>0</v>
      </c>
    </row>
    <row r="19" spans="2:96" x14ac:dyDescent="0.3">
      <c r="B19" s="10" t="s">
        <v>136</v>
      </c>
      <c r="C19" s="56">
        <f>$C$9/2*18</f>
        <v>1800000</v>
      </c>
      <c r="D19" s="63">
        <v>24</v>
      </c>
      <c r="E19" s="60">
        <v>24</v>
      </c>
      <c r="F19" s="18" t="str">
        <f t="shared" si="93"/>
        <v>OK</v>
      </c>
      <c r="G19" s="19">
        <f t="shared" si="94"/>
        <v>0</v>
      </c>
      <c r="H19" s="19">
        <f t="shared" si="97"/>
        <v>0</v>
      </c>
      <c r="I19" s="19">
        <f t="shared" si="97"/>
        <v>0</v>
      </c>
      <c r="J19" s="19">
        <f t="shared" si="97"/>
        <v>0</v>
      </c>
      <c r="K19" s="19">
        <f t="shared" si="97"/>
        <v>0</v>
      </c>
      <c r="L19" s="19">
        <f t="shared" si="97"/>
        <v>0</v>
      </c>
      <c r="M19" s="19">
        <f t="shared" si="97"/>
        <v>0</v>
      </c>
      <c r="N19" s="19">
        <f t="shared" si="97"/>
        <v>0</v>
      </c>
      <c r="O19" s="19">
        <f t="shared" si="97"/>
        <v>0</v>
      </c>
      <c r="P19" s="19">
        <f t="shared" si="97"/>
        <v>0</v>
      </c>
      <c r="Q19" s="19">
        <f t="shared" si="97"/>
        <v>0</v>
      </c>
      <c r="R19" s="19">
        <f t="shared" si="97"/>
        <v>0</v>
      </c>
      <c r="S19" s="19">
        <f t="shared" si="97"/>
        <v>0</v>
      </c>
      <c r="T19" s="19">
        <f t="shared" si="97"/>
        <v>0</v>
      </c>
      <c r="U19" s="19">
        <f t="shared" si="97"/>
        <v>0</v>
      </c>
      <c r="V19" s="19">
        <f t="shared" si="97"/>
        <v>0</v>
      </c>
      <c r="W19" s="19">
        <f t="shared" si="97"/>
        <v>0</v>
      </c>
      <c r="X19" s="19">
        <f t="shared" si="97"/>
        <v>0</v>
      </c>
      <c r="Y19" s="19">
        <f t="shared" si="97"/>
        <v>0</v>
      </c>
      <c r="Z19" s="19">
        <f t="shared" si="97"/>
        <v>0</v>
      </c>
      <c r="AA19" s="19">
        <f t="shared" si="97"/>
        <v>0</v>
      </c>
      <c r="AB19" s="19">
        <f t="shared" si="97"/>
        <v>0</v>
      </c>
      <c r="AC19" s="19">
        <f t="shared" si="97"/>
        <v>0</v>
      </c>
      <c r="AD19" s="19">
        <f t="shared" si="97"/>
        <v>1800000</v>
      </c>
      <c r="AE19" s="19">
        <f t="shared" si="97"/>
        <v>0</v>
      </c>
      <c r="AF19" s="19">
        <f t="shared" si="97"/>
        <v>0</v>
      </c>
      <c r="AG19" s="19">
        <f t="shared" si="97"/>
        <v>0</v>
      </c>
      <c r="AH19" s="19">
        <f t="shared" si="97"/>
        <v>0</v>
      </c>
      <c r="AI19" s="19">
        <f t="shared" si="97"/>
        <v>0</v>
      </c>
      <c r="AJ19" s="19">
        <f t="shared" si="97"/>
        <v>0</v>
      </c>
      <c r="AK19" s="19">
        <f t="shared" si="97"/>
        <v>0</v>
      </c>
      <c r="AL19" s="19">
        <f t="shared" si="97"/>
        <v>0</v>
      </c>
      <c r="AM19" s="19">
        <f t="shared" si="97"/>
        <v>0</v>
      </c>
      <c r="AN19" s="19">
        <f t="shared" si="97"/>
        <v>0</v>
      </c>
      <c r="AO19" s="19">
        <f t="shared" si="97"/>
        <v>0</v>
      </c>
      <c r="AP19" s="19">
        <f t="shared" si="97"/>
        <v>0</v>
      </c>
      <c r="AQ19" s="19">
        <f t="shared" si="97"/>
        <v>0</v>
      </c>
      <c r="AR19" s="19">
        <f t="shared" si="97"/>
        <v>0</v>
      </c>
      <c r="AS19" s="19">
        <f t="shared" si="97"/>
        <v>0</v>
      </c>
      <c r="AT19" s="19">
        <f t="shared" si="97"/>
        <v>0</v>
      </c>
      <c r="AU19" s="19">
        <f t="shared" si="97"/>
        <v>0</v>
      </c>
      <c r="AV19" s="19">
        <f t="shared" si="97"/>
        <v>0</v>
      </c>
      <c r="AW19" s="19">
        <f t="shared" si="97"/>
        <v>0</v>
      </c>
      <c r="AX19" s="19">
        <f t="shared" si="97"/>
        <v>0</v>
      </c>
      <c r="AY19" s="19">
        <f t="shared" si="97"/>
        <v>0</v>
      </c>
      <c r="AZ19" s="19">
        <f t="shared" si="97"/>
        <v>0</v>
      </c>
      <c r="BA19" s="19">
        <f t="shared" si="97"/>
        <v>0</v>
      </c>
      <c r="BB19" s="19">
        <f t="shared" si="97"/>
        <v>0</v>
      </c>
      <c r="BC19" s="19">
        <f t="shared" si="97"/>
        <v>0</v>
      </c>
      <c r="BD19" s="19">
        <f t="shared" si="97"/>
        <v>0</v>
      </c>
      <c r="BE19" s="19">
        <f t="shared" si="97"/>
        <v>0</v>
      </c>
      <c r="BF19" s="19">
        <f t="shared" si="97"/>
        <v>0</v>
      </c>
      <c r="BG19" s="19">
        <f t="shared" si="97"/>
        <v>0</v>
      </c>
      <c r="BH19" s="19">
        <f t="shared" si="97"/>
        <v>0</v>
      </c>
      <c r="BI19" s="19">
        <f t="shared" si="97"/>
        <v>0</v>
      </c>
      <c r="BJ19" s="19">
        <f t="shared" si="97"/>
        <v>0</v>
      </c>
      <c r="BK19" s="19">
        <f t="shared" si="97"/>
        <v>0</v>
      </c>
      <c r="BL19" s="19">
        <f t="shared" si="97"/>
        <v>0</v>
      </c>
      <c r="BM19" s="19">
        <f t="shared" si="97"/>
        <v>0</v>
      </c>
      <c r="BN19" s="19">
        <f t="shared" si="97"/>
        <v>0</v>
      </c>
      <c r="BO19" s="19">
        <f t="shared" si="97"/>
        <v>0</v>
      </c>
      <c r="BP19" s="19">
        <f t="shared" si="97"/>
        <v>0</v>
      </c>
      <c r="BQ19" s="19">
        <f t="shared" si="97"/>
        <v>0</v>
      </c>
      <c r="BR19" s="19">
        <f t="shared" si="97"/>
        <v>0</v>
      </c>
      <c r="BS19" s="19">
        <f t="shared" si="97"/>
        <v>0</v>
      </c>
      <c r="BT19" s="19">
        <f t="shared" si="96"/>
        <v>0</v>
      </c>
      <c r="BU19" s="19">
        <f t="shared" si="96"/>
        <v>0</v>
      </c>
      <c r="BV19" s="19">
        <f t="shared" si="96"/>
        <v>0</v>
      </c>
      <c r="BW19" s="19">
        <f t="shared" si="96"/>
        <v>0</v>
      </c>
      <c r="BX19" s="19">
        <f t="shared" si="96"/>
        <v>0</v>
      </c>
      <c r="BY19" s="19">
        <f t="shared" si="96"/>
        <v>0</v>
      </c>
      <c r="BZ19" s="19">
        <f t="shared" si="96"/>
        <v>0</v>
      </c>
      <c r="CA19" s="19">
        <f t="shared" si="96"/>
        <v>0</v>
      </c>
      <c r="CB19" s="19">
        <f t="shared" si="96"/>
        <v>0</v>
      </c>
      <c r="CC19" s="19">
        <f t="shared" si="96"/>
        <v>0</v>
      </c>
      <c r="CD19" s="19">
        <f t="shared" si="96"/>
        <v>0</v>
      </c>
      <c r="CE19" s="19">
        <f t="shared" si="96"/>
        <v>0</v>
      </c>
      <c r="CF19" s="19">
        <f t="shared" si="96"/>
        <v>0</v>
      </c>
      <c r="CG19" s="19">
        <f t="shared" si="96"/>
        <v>0</v>
      </c>
      <c r="CH19" s="19">
        <f t="shared" si="96"/>
        <v>0</v>
      </c>
      <c r="CI19" s="19">
        <f t="shared" si="96"/>
        <v>0</v>
      </c>
      <c r="CJ19" s="19">
        <f t="shared" si="96"/>
        <v>0</v>
      </c>
      <c r="CK19" s="19">
        <f t="shared" si="96"/>
        <v>0</v>
      </c>
      <c r="CL19" s="19">
        <f t="shared" si="96"/>
        <v>0</v>
      </c>
      <c r="CM19" s="19">
        <f t="shared" si="96"/>
        <v>0</v>
      </c>
      <c r="CN19" s="19">
        <f t="shared" si="96"/>
        <v>0</v>
      </c>
      <c r="CO19" s="19">
        <f t="shared" si="96"/>
        <v>0</v>
      </c>
      <c r="CP19" s="19">
        <f t="shared" si="96"/>
        <v>0</v>
      </c>
      <c r="CQ19" s="19">
        <f t="shared" si="96"/>
        <v>0</v>
      </c>
      <c r="CR19" s="19">
        <f t="shared" si="96"/>
        <v>0</v>
      </c>
    </row>
    <row r="20" spans="2:96" x14ac:dyDescent="0.3">
      <c r="B20" s="49" t="s">
        <v>48</v>
      </c>
      <c r="C20" s="57">
        <f>SUM(C12:C19)</f>
        <v>104800000</v>
      </c>
      <c r="D20" s="53">
        <f>MIN(D12:D19)</f>
        <v>1</v>
      </c>
      <c r="E20" s="12">
        <f>MAX(E12:E19)</f>
        <v>30</v>
      </c>
      <c r="F20" s="18" t="str">
        <f t="shared" si="93"/>
        <v>OK</v>
      </c>
      <c r="G20" s="22">
        <f>SUM(G12:G19)</f>
        <v>23075000</v>
      </c>
      <c r="H20" s="22">
        <f t="shared" ref="H20:BS20" si="98">SUM(H12:H19)</f>
        <v>2875000</v>
      </c>
      <c r="I20" s="22">
        <f t="shared" si="98"/>
        <v>2875000</v>
      </c>
      <c r="J20" s="22">
        <f t="shared" si="98"/>
        <v>2875000</v>
      </c>
      <c r="K20" s="22">
        <f t="shared" si="98"/>
        <v>2875000</v>
      </c>
      <c r="L20" s="22">
        <f t="shared" si="98"/>
        <v>2875000</v>
      </c>
      <c r="M20" s="22">
        <f t="shared" si="98"/>
        <v>2875000</v>
      </c>
      <c r="N20" s="22">
        <f t="shared" si="98"/>
        <v>2875000</v>
      </c>
      <c r="O20" s="22">
        <f t="shared" si="98"/>
        <v>2875000</v>
      </c>
      <c r="P20" s="22">
        <f t="shared" si="98"/>
        <v>2875000</v>
      </c>
      <c r="Q20" s="22">
        <f t="shared" si="98"/>
        <v>2875000</v>
      </c>
      <c r="R20" s="22">
        <f t="shared" si="98"/>
        <v>2875000</v>
      </c>
      <c r="S20" s="22">
        <f t="shared" si="98"/>
        <v>2875000</v>
      </c>
      <c r="T20" s="22">
        <f t="shared" si="98"/>
        <v>2875000</v>
      </c>
      <c r="U20" s="22">
        <f t="shared" si="98"/>
        <v>2875000</v>
      </c>
      <c r="V20" s="22">
        <f t="shared" si="98"/>
        <v>2875000</v>
      </c>
      <c r="W20" s="22">
        <f t="shared" si="98"/>
        <v>2875000</v>
      </c>
      <c r="X20" s="22">
        <f t="shared" si="98"/>
        <v>2875000</v>
      </c>
      <c r="Y20" s="22">
        <f t="shared" si="98"/>
        <v>4675000</v>
      </c>
      <c r="Z20" s="22">
        <f t="shared" si="98"/>
        <v>2875000</v>
      </c>
      <c r="AA20" s="22">
        <f t="shared" si="98"/>
        <v>2875000</v>
      </c>
      <c r="AB20" s="22">
        <f t="shared" si="98"/>
        <v>2875000</v>
      </c>
      <c r="AC20" s="22">
        <f t="shared" si="98"/>
        <v>2875000</v>
      </c>
      <c r="AD20" s="22">
        <f t="shared" si="98"/>
        <v>4675000</v>
      </c>
      <c r="AE20" s="22">
        <f t="shared" si="98"/>
        <v>6000000</v>
      </c>
      <c r="AF20" s="22">
        <f t="shared" si="98"/>
        <v>0</v>
      </c>
      <c r="AG20" s="22">
        <f t="shared" si="98"/>
        <v>0</v>
      </c>
      <c r="AH20" s="22">
        <f t="shared" si="98"/>
        <v>0</v>
      </c>
      <c r="AI20" s="22">
        <f t="shared" si="98"/>
        <v>0</v>
      </c>
      <c r="AJ20" s="22">
        <f t="shared" si="98"/>
        <v>6000000</v>
      </c>
      <c r="AK20" s="22">
        <f t="shared" si="98"/>
        <v>0</v>
      </c>
      <c r="AL20" s="22">
        <f t="shared" si="98"/>
        <v>0</v>
      </c>
      <c r="AM20" s="22">
        <f t="shared" si="98"/>
        <v>0</v>
      </c>
      <c r="AN20" s="22">
        <f t="shared" si="98"/>
        <v>0</v>
      </c>
      <c r="AO20" s="22">
        <f t="shared" si="98"/>
        <v>0</v>
      </c>
      <c r="AP20" s="22">
        <f t="shared" si="98"/>
        <v>0</v>
      </c>
      <c r="AQ20" s="22">
        <f t="shared" si="98"/>
        <v>0</v>
      </c>
      <c r="AR20" s="22">
        <f t="shared" si="98"/>
        <v>0</v>
      </c>
      <c r="AS20" s="22">
        <f t="shared" si="98"/>
        <v>0</v>
      </c>
      <c r="AT20" s="22">
        <f t="shared" si="98"/>
        <v>0</v>
      </c>
      <c r="AU20" s="22">
        <f t="shared" si="98"/>
        <v>0</v>
      </c>
      <c r="AV20" s="22">
        <f t="shared" si="98"/>
        <v>0</v>
      </c>
      <c r="AW20" s="22">
        <f t="shared" si="98"/>
        <v>0</v>
      </c>
      <c r="AX20" s="22">
        <f t="shared" si="98"/>
        <v>0</v>
      </c>
      <c r="AY20" s="22">
        <f t="shared" si="98"/>
        <v>0</v>
      </c>
      <c r="AZ20" s="22">
        <f t="shared" si="98"/>
        <v>0</v>
      </c>
      <c r="BA20" s="22">
        <f t="shared" si="98"/>
        <v>0</v>
      </c>
      <c r="BB20" s="22">
        <f t="shared" si="98"/>
        <v>0</v>
      </c>
      <c r="BC20" s="22">
        <f t="shared" si="98"/>
        <v>0</v>
      </c>
      <c r="BD20" s="22">
        <f t="shared" si="98"/>
        <v>0</v>
      </c>
      <c r="BE20" s="22">
        <f t="shared" si="98"/>
        <v>0</v>
      </c>
      <c r="BF20" s="22">
        <f t="shared" si="98"/>
        <v>0</v>
      </c>
      <c r="BG20" s="22">
        <f t="shared" si="98"/>
        <v>0</v>
      </c>
      <c r="BH20" s="22">
        <f t="shared" si="98"/>
        <v>0</v>
      </c>
      <c r="BI20" s="22">
        <f t="shared" si="98"/>
        <v>0</v>
      </c>
      <c r="BJ20" s="22">
        <f t="shared" si="98"/>
        <v>0</v>
      </c>
      <c r="BK20" s="22">
        <f t="shared" si="98"/>
        <v>0</v>
      </c>
      <c r="BL20" s="22">
        <f t="shared" si="98"/>
        <v>0</v>
      </c>
      <c r="BM20" s="22">
        <f t="shared" si="98"/>
        <v>0</v>
      </c>
      <c r="BN20" s="22">
        <f t="shared" si="98"/>
        <v>0</v>
      </c>
      <c r="BO20" s="22">
        <f t="shared" si="98"/>
        <v>0</v>
      </c>
      <c r="BP20" s="22">
        <f t="shared" si="98"/>
        <v>0</v>
      </c>
      <c r="BQ20" s="22">
        <f t="shared" si="98"/>
        <v>0</v>
      </c>
      <c r="BR20" s="22">
        <f t="shared" si="98"/>
        <v>0</v>
      </c>
      <c r="BS20" s="22">
        <f t="shared" si="98"/>
        <v>0</v>
      </c>
      <c r="BT20" s="22">
        <f t="shared" ref="BT20:CR20" si="99">SUM(BT12:BT19)</f>
        <v>0</v>
      </c>
      <c r="BU20" s="22">
        <f t="shared" si="99"/>
        <v>0</v>
      </c>
      <c r="BV20" s="22">
        <f t="shared" si="99"/>
        <v>0</v>
      </c>
      <c r="BW20" s="22">
        <f t="shared" si="99"/>
        <v>0</v>
      </c>
      <c r="BX20" s="22">
        <f t="shared" si="99"/>
        <v>0</v>
      </c>
      <c r="BY20" s="22">
        <f t="shared" si="99"/>
        <v>0</v>
      </c>
      <c r="BZ20" s="22">
        <f t="shared" si="99"/>
        <v>0</v>
      </c>
      <c r="CA20" s="22">
        <f t="shared" si="99"/>
        <v>0</v>
      </c>
      <c r="CB20" s="22">
        <f t="shared" si="99"/>
        <v>0</v>
      </c>
      <c r="CC20" s="22">
        <f t="shared" si="99"/>
        <v>0</v>
      </c>
      <c r="CD20" s="22">
        <f t="shared" si="99"/>
        <v>0</v>
      </c>
      <c r="CE20" s="22">
        <f t="shared" si="99"/>
        <v>0</v>
      </c>
      <c r="CF20" s="22">
        <f t="shared" si="99"/>
        <v>0</v>
      </c>
      <c r="CG20" s="22">
        <f t="shared" si="99"/>
        <v>0</v>
      </c>
      <c r="CH20" s="22">
        <f t="shared" si="99"/>
        <v>0</v>
      </c>
      <c r="CI20" s="22">
        <f t="shared" si="99"/>
        <v>0</v>
      </c>
      <c r="CJ20" s="22">
        <f t="shared" si="99"/>
        <v>0</v>
      </c>
      <c r="CK20" s="22">
        <f t="shared" si="99"/>
        <v>0</v>
      </c>
      <c r="CL20" s="22">
        <f t="shared" si="99"/>
        <v>0</v>
      </c>
      <c r="CM20" s="22">
        <f t="shared" si="99"/>
        <v>0</v>
      </c>
      <c r="CN20" s="22">
        <f t="shared" si="99"/>
        <v>0</v>
      </c>
      <c r="CO20" s="22">
        <f t="shared" si="99"/>
        <v>0</v>
      </c>
      <c r="CP20" s="22">
        <f t="shared" si="99"/>
        <v>0</v>
      </c>
      <c r="CQ20" s="22">
        <f t="shared" si="99"/>
        <v>0</v>
      </c>
      <c r="CR20" s="22">
        <f t="shared" si="99"/>
        <v>0</v>
      </c>
    </row>
    <row r="21" spans="2:96" x14ac:dyDescent="0.3">
      <c r="B21" s="21" t="s">
        <v>49</v>
      </c>
      <c r="C21" s="56">
        <f ca="1">SUM(G21:CR21)</f>
        <v>2471839.5619440903</v>
      </c>
      <c r="D21" s="4"/>
      <c r="E21" s="4"/>
      <c r="G21" s="19">
        <f ca="1">(G7&lt;$D$9)*(G28*($E$25/12))</f>
        <v>0</v>
      </c>
      <c r="H21" s="19">
        <f t="shared" ref="H21:BS21" ca="1" si="100">(H7&lt;$D$9)*(H28*($E$25/12))</f>
        <v>0</v>
      </c>
      <c r="I21" s="19">
        <f t="shared" ca="1" si="100"/>
        <v>0</v>
      </c>
      <c r="J21" s="19">
        <f t="shared" ca="1" si="100"/>
        <v>0</v>
      </c>
      <c r="K21" s="19">
        <f t="shared" ca="1" si="100"/>
        <v>0</v>
      </c>
      <c r="L21" s="19">
        <f t="shared" ca="1" si="100"/>
        <v>0</v>
      </c>
      <c r="M21" s="19">
        <f t="shared" ca="1" si="100"/>
        <v>0</v>
      </c>
      <c r="N21" s="19">
        <f t="shared" ca="1" si="100"/>
        <v>1218.6785574157316</v>
      </c>
      <c r="O21" s="19">
        <f t="shared" ca="1" si="100"/>
        <v>13253.066333806592</v>
      </c>
      <c r="P21" s="19">
        <f t="shared" ca="1" si="100"/>
        <v>25337.807197127957</v>
      </c>
      <c r="Q21" s="19">
        <f t="shared" ca="1" si="100"/>
        <v>37473.111829751921</v>
      </c>
      <c r="R21" s="19">
        <f t="shared" ca="1" si="100"/>
        <v>49659.191795566789</v>
      </c>
      <c r="S21" s="19">
        <f t="shared" ca="1" si="100"/>
        <v>61896.259543665386</v>
      </c>
      <c r="T21" s="19">
        <f t="shared" ca="1" si="100"/>
        <v>74184.528412048923</v>
      </c>
      <c r="U21" s="19">
        <f t="shared" ca="1" si="100"/>
        <v>86524.212631346192</v>
      </c>
      <c r="V21" s="19">
        <f t="shared" ca="1" si="100"/>
        <v>98915.527328548473</v>
      </c>
      <c r="W21" s="19">
        <f t="shared" ca="1" si="100"/>
        <v>111358.68853075997</v>
      </c>
      <c r="X21" s="19">
        <f t="shared" ca="1" si="100"/>
        <v>123853.91316896399</v>
      </c>
      <c r="Y21" s="19">
        <f t="shared" ca="1" si="100"/>
        <v>143932.79983494291</v>
      </c>
      <c r="Z21" s="19">
        <f t="shared" ca="1" si="100"/>
        <v>156564.31782588409</v>
      </c>
      <c r="AA21" s="19">
        <f t="shared" ca="1" si="100"/>
        <v>169248.68735653633</v>
      </c>
      <c r="AB21" s="19">
        <f t="shared" ca="1" si="100"/>
        <v>181986.12956304903</v>
      </c>
      <c r="AC21" s="19">
        <f t="shared" ca="1" si="100"/>
        <v>194776.8665068275</v>
      </c>
      <c r="AD21" s="19">
        <f t="shared" ca="1" si="100"/>
        <v>215152.50193154224</v>
      </c>
      <c r="AE21" s="19">
        <f t="shared" ca="1" si="100"/>
        <v>241157.32411535623</v>
      </c>
      <c r="AF21" s="19">
        <f t="shared" ca="1" si="100"/>
        <v>242166.35057608993</v>
      </c>
      <c r="AG21" s="19">
        <f t="shared" ca="1" si="100"/>
        <v>243179.59890486021</v>
      </c>
      <c r="AH21" s="19">
        <f t="shared" ca="1" si="100"/>
        <v>0</v>
      </c>
      <c r="AI21" s="19">
        <f t="shared" ca="1" si="100"/>
        <v>0</v>
      </c>
      <c r="AJ21" s="19">
        <f t="shared" ca="1" si="100"/>
        <v>0</v>
      </c>
      <c r="AK21" s="19">
        <f t="shared" ca="1" si="100"/>
        <v>0</v>
      </c>
      <c r="AL21" s="19">
        <f t="shared" ca="1" si="100"/>
        <v>0</v>
      </c>
      <c r="AM21" s="19">
        <f t="shared" ca="1" si="100"/>
        <v>0</v>
      </c>
      <c r="AN21" s="19">
        <f t="shared" ca="1" si="100"/>
        <v>0</v>
      </c>
      <c r="AO21" s="19">
        <f t="shared" ca="1" si="100"/>
        <v>0</v>
      </c>
      <c r="AP21" s="19">
        <f t="shared" ca="1" si="100"/>
        <v>0</v>
      </c>
      <c r="AQ21" s="19">
        <f t="shared" ca="1" si="100"/>
        <v>0</v>
      </c>
      <c r="AR21" s="19">
        <f t="shared" ca="1" si="100"/>
        <v>0</v>
      </c>
      <c r="AS21" s="19">
        <f t="shared" ca="1" si="100"/>
        <v>0</v>
      </c>
      <c r="AT21" s="19">
        <f t="shared" ca="1" si="100"/>
        <v>0</v>
      </c>
      <c r="AU21" s="19">
        <f t="shared" ca="1" si="100"/>
        <v>0</v>
      </c>
      <c r="AV21" s="19">
        <f t="shared" ca="1" si="100"/>
        <v>0</v>
      </c>
      <c r="AW21" s="19">
        <f t="shared" ca="1" si="100"/>
        <v>0</v>
      </c>
      <c r="AX21" s="19">
        <f t="shared" ca="1" si="100"/>
        <v>0</v>
      </c>
      <c r="AY21" s="19">
        <f t="shared" ca="1" si="100"/>
        <v>0</v>
      </c>
      <c r="AZ21" s="19">
        <f t="shared" ca="1" si="100"/>
        <v>0</v>
      </c>
      <c r="BA21" s="19">
        <f t="shared" ca="1" si="100"/>
        <v>0</v>
      </c>
      <c r="BB21" s="19">
        <f t="shared" ca="1" si="100"/>
        <v>0</v>
      </c>
      <c r="BC21" s="19">
        <f t="shared" ca="1" si="100"/>
        <v>0</v>
      </c>
      <c r="BD21" s="19">
        <f t="shared" ca="1" si="100"/>
        <v>0</v>
      </c>
      <c r="BE21" s="19">
        <f t="shared" ca="1" si="100"/>
        <v>0</v>
      </c>
      <c r="BF21" s="19">
        <f t="shared" ca="1" si="100"/>
        <v>0</v>
      </c>
      <c r="BG21" s="19">
        <f t="shared" ca="1" si="100"/>
        <v>0</v>
      </c>
      <c r="BH21" s="19">
        <f t="shared" ca="1" si="100"/>
        <v>0</v>
      </c>
      <c r="BI21" s="19">
        <f t="shared" ca="1" si="100"/>
        <v>0</v>
      </c>
      <c r="BJ21" s="19">
        <f t="shared" ca="1" si="100"/>
        <v>0</v>
      </c>
      <c r="BK21" s="19">
        <f t="shared" ca="1" si="100"/>
        <v>0</v>
      </c>
      <c r="BL21" s="19">
        <f t="shared" ca="1" si="100"/>
        <v>0</v>
      </c>
      <c r="BM21" s="19">
        <f t="shared" ca="1" si="100"/>
        <v>0</v>
      </c>
      <c r="BN21" s="19">
        <f t="shared" ca="1" si="100"/>
        <v>0</v>
      </c>
      <c r="BO21" s="19">
        <f t="shared" ca="1" si="100"/>
        <v>0</v>
      </c>
      <c r="BP21" s="19">
        <f t="shared" ca="1" si="100"/>
        <v>0</v>
      </c>
      <c r="BQ21" s="19">
        <f t="shared" ca="1" si="100"/>
        <v>0</v>
      </c>
      <c r="BR21" s="19">
        <f t="shared" ca="1" si="100"/>
        <v>0</v>
      </c>
      <c r="BS21" s="19">
        <f t="shared" ca="1" si="100"/>
        <v>0</v>
      </c>
      <c r="BT21" s="19">
        <f t="shared" ref="BT21:CR21" ca="1" si="101">(BT7&lt;$D$9)*(BT28*($E$25/12))</f>
        <v>0</v>
      </c>
      <c r="BU21" s="19">
        <f t="shared" ca="1" si="101"/>
        <v>0</v>
      </c>
      <c r="BV21" s="19">
        <f t="shared" ca="1" si="101"/>
        <v>0</v>
      </c>
      <c r="BW21" s="19">
        <f t="shared" ca="1" si="101"/>
        <v>0</v>
      </c>
      <c r="BX21" s="19">
        <f t="shared" ca="1" si="101"/>
        <v>0</v>
      </c>
      <c r="BY21" s="19">
        <f t="shared" ca="1" si="101"/>
        <v>0</v>
      </c>
      <c r="BZ21" s="19">
        <f t="shared" ca="1" si="101"/>
        <v>0</v>
      </c>
      <c r="CA21" s="19">
        <f t="shared" ca="1" si="101"/>
        <v>0</v>
      </c>
      <c r="CB21" s="19">
        <f t="shared" ca="1" si="101"/>
        <v>0</v>
      </c>
      <c r="CC21" s="19">
        <f t="shared" ca="1" si="101"/>
        <v>0</v>
      </c>
      <c r="CD21" s="19">
        <f t="shared" ca="1" si="101"/>
        <v>0</v>
      </c>
      <c r="CE21" s="19">
        <f t="shared" ca="1" si="101"/>
        <v>0</v>
      </c>
      <c r="CF21" s="19">
        <f t="shared" ca="1" si="101"/>
        <v>0</v>
      </c>
      <c r="CG21" s="19">
        <f t="shared" ca="1" si="101"/>
        <v>0</v>
      </c>
      <c r="CH21" s="19">
        <f t="shared" ca="1" si="101"/>
        <v>0</v>
      </c>
      <c r="CI21" s="19">
        <f t="shared" ca="1" si="101"/>
        <v>0</v>
      </c>
      <c r="CJ21" s="19">
        <f t="shared" ca="1" si="101"/>
        <v>0</v>
      </c>
      <c r="CK21" s="19">
        <f t="shared" ca="1" si="101"/>
        <v>0</v>
      </c>
      <c r="CL21" s="19">
        <f t="shared" ca="1" si="101"/>
        <v>0</v>
      </c>
      <c r="CM21" s="19">
        <f t="shared" ca="1" si="101"/>
        <v>0</v>
      </c>
      <c r="CN21" s="19">
        <f t="shared" ca="1" si="101"/>
        <v>0</v>
      </c>
      <c r="CO21" s="19">
        <f t="shared" ca="1" si="101"/>
        <v>0</v>
      </c>
      <c r="CP21" s="19">
        <f t="shared" ca="1" si="101"/>
        <v>0</v>
      </c>
      <c r="CQ21" s="19">
        <f t="shared" ca="1" si="101"/>
        <v>0</v>
      </c>
      <c r="CR21" s="19">
        <f t="shared" ca="1" si="101"/>
        <v>0</v>
      </c>
    </row>
    <row r="22" spans="2:96" x14ac:dyDescent="0.3">
      <c r="B22" s="49" t="s">
        <v>50</v>
      </c>
      <c r="C22" s="57">
        <f ca="1">C20+C21</f>
        <v>107271839.5619441</v>
      </c>
      <c r="D22" s="23"/>
      <c r="E22" s="23"/>
      <c r="F22" s="1"/>
      <c r="G22" s="22">
        <f ca="1">G20+G21</f>
        <v>23075000</v>
      </c>
      <c r="H22" s="22">
        <f t="shared" ref="H22:BS22" ca="1" si="102">H20+H21</f>
        <v>2875000</v>
      </c>
      <c r="I22" s="22">
        <f t="shared" ca="1" si="102"/>
        <v>2875000</v>
      </c>
      <c r="J22" s="22">
        <f t="shared" ca="1" si="102"/>
        <v>2875000</v>
      </c>
      <c r="K22" s="22">
        <f t="shared" ca="1" si="102"/>
        <v>2875000</v>
      </c>
      <c r="L22" s="22">
        <f t="shared" ca="1" si="102"/>
        <v>2875000</v>
      </c>
      <c r="M22" s="22">
        <f t="shared" ca="1" si="102"/>
        <v>2875000</v>
      </c>
      <c r="N22" s="22">
        <f t="shared" ca="1" si="102"/>
        <v>2876218.678557416</v>
      </c>
      <c r="O22" s="22">
        <f t="shared" ca="1" si="102"/>
        <v>2888253.0663338066</v>
      </c>
      <c r="P22" s="22">
        <f t="shared" ca="1" si="102"/>
        <v>2900337.807197128</v>
      </c>
      <c r="Q22" s="22">
        <f t="shared" ca="1" si="102"/>
        <v>2912473.1118297521</v>
      </c>
      <c r="R22" s="22">
        <f t="shared" ca="1" si="102"/>
        <v>2924659.1917955666</v>
      </c>
      <c r="S22" s="22">
        <f t="shared" ca="1" si="102"/>
        <v>2936896.2595436652</v>
      </c>
      <c r="T22" s="22">
        <f t="shared" ca="1" si="102"/>
        <v>2949184.5284120487</v>
      </c>
      <c r="U22" s="22">
        <f t="shared" ca="1" si="102"/>
        <v>2961524.2126313462</v>
      </c>
      <c r="V22" s="22">
        <f t="shared" ca="1" si="102"/>
        <v>2973915.5273285485</v>
      </c>
      <c r="W22" s="22">
        <f t="shared" ca="1" si="102"/>
        <v>2986358.6885307599</v>
      </c>
      <c r="X22" s="22">
        <f t="shared" ca="1" si="102"/>
        <v>2998853.913168964</v>
      </c>
      <c r="Y22" s="22">
        <f t="shared" ca="1" si="102"/>
        <v>4818932.7998349424</v>
      </c>
      <c r="Z22" s="22">
        <f t="shared" ca="1" si="102"/>
        <v>3031564.3178258841</v>
      </c>
      <c r="AA22" s="22">
        <f t="shared" ca="1" si="102"/>
        <v>3044248.6873565363</v>
      </c>
      <c r="AB22" s="22">
        <f t="shared" ca="1" si="102"/>
        <v>3056986.1295630489</v>
      </c>
      <c r="AC22" s="22">
        <f t="shared" ca="1" si="102"/>
        <v>3069776.8665068275</v>
      </c>
      <c r="AD22" s="22">
        <f t="shared" ca="1" si="102"/>
        <v>4890152.5019315425</v>
      </c>
      <c r="AE22" s="22">
        <f t="shared" ca="1" si="102"/>
        <v>6241157.3241153564</v>
      </c>
      <c r="AF22" s="22">
        <f t="shared" ca="1" si="102"/>
        <v>242166.35057608993</v>
      </c>
      <c r="AG22" s="22">
        <f t="shared" ca="1" si="102"/>
        <v>243179.59890486021</v>
      </c>
      <c r="AH22" s="22">
        <f t="shared" ca="1" si="102"/>
        <v>0</v>
      </c>
      <c r="AI22" s="22">
        <f t="shared" ca="1" si="102"/>
        <v>0</v>
      </c>
      <c r="AJ22" s="22">
        <f t="shared" ca="1" si="102"/>
        <v>6000000</v>
      </c>
      <c r="AK22" s="22">
        <f t="shared" ca="1" si="102"/>
        <v>0</v>
      </c>
      <c r="AL22" s="22">
        <f t="shared" ca="1" si="102"/>
        <v>0</v>
      </c>
      <c r="AM22" s="22">
        <f t="shared" ca="1" si="102"/>
        <v>0</v>
      </c>
      <c r="AN22" s="22">
        <f t="shared" ca="1" si="102"/>
        <v>0</v>
      </c>
      <c r="AO22" s="22">
        <f t="shared" ca="1" si="102"/>
        <v>0</v>
      </c>
      <c r="AP22" s="22">
        <f t="shared" ca="1" si="102"/>
        <v>0</v>
      </c>
      <c r="AQ22" s="22">
        <f t="shared" ca="1" si="102"/>
        <v>0</v>
      </c>
      <c r="AR22" s="22">
        <f t="shared" ca="1" si="102"/>
        <v>0</v>
      </c>
      <c r="AS22" s="22">
        <f t="shared" ca="1" si="102"/>
        <v>0</v>
      </c>
      <c r="AT22" s="22">
        <f t="shared" ca="1" si="102"/>
        <v>0</v>
      </c>
      <c r="AU22" s="22">
        <f t="shared" ca="1" si="102"/>
        <v>0</v>
      </c>
      <c r="AV22" s="22">
        <f t="shared" ca="1" si="102"/>
        <v>0</v>
      </c>
      <c r="AW22" s="22">
        <f t="shared" ca="1" si="102"/>
        <v>0</v>
      </c>
      <c r="AX22" s="22">
        <f t="shared" ca="1" si="102"/>
        <v>0</v>
      </c>
      <c r="AY22" s="22">
        <f t="shared" ca="1" si="102"/>
        <v>0</v>
      </c>
      <c r="AZ22" s="22">
        <f t="shared" ca="1" si="102"/>
        <v>0</v>
      </c>
      <c r="BA22" s="22">
        <f t="shared" ca="1" si="102"/>
        <v>0</v>
      </c>
      <c r="BB22" s="22">
        <f t="shared" ca="1" si="102"/>
        <v>0</v>
      </c>
      <c r="BC22" s="22">
        <f t="shared" ca="1" si="102"/>
        <v>0</v>
      </c>
      <c r="BD22" s="22">
        <f t="shared" ca="1" si="102"/>
        <v>0</v>
      </c>
      <c r="BE22" s="22">
        <f t="shared" ca="1" si="102"/>
        <v>0</v>
      </c>
      <c r="BF22" s="22">
        <f t="shared" ca="1" si="102"/>
        <v>0</v>
      </c>
      <c r="BG22" s="22">
        <f t="shared" ca="1" si="102"/>
        <v>0</v>
      </c>
      <c r="BH22" s="22">
        <f t="shared" ca="1" si="102"/>
        <v>0</v>
      </c>
      <c r="BI22" s="22">
        <f t="shared" ca="1" si="102"/>
        <v>0</v>
      </c>
      <c r="BJ22" s="22">
        <f t="shared" ca="1" si="102"/>
        <v>0</v>
      </c>
      <c r="BK22" s="22">
        <f t="shared" ca="1" si="102"/>
        <v>0</v>
      </c>
      <c r="BL22" s="22">
        <f t="shared" ca="1" si="102"/>
        <v>0</v>
      </c>
      <c r="BM22" s="22">
        <f t="shared" ca="1" si="102"/>
        <v>0</v>
      </c>
      <c r="BN22" s="22">
        <f t="shared" ca="1" si="102"/>
        <v>0</v>
      </c>
      <c r="BO22" s="22">
        <f t="shared" ca="1" si="102"/>
        <v>0</v>
      </c>
      <c r="BP22" s="22">
        <f t="shared" ca="1" si="102"/>
        <v>0</v>
      </c>
      <c r="BQ22" s="22">
        <f t="shared" ca="1" si="102"/>
        <v>0</v>
      </c>
      <c r="BR22" s="22">
        <f t="shared" ca="1" si="102"/>
        <v>0</v>
      </c>
      <c r="BS22" s="22">
        <f t="shared" ca="1" si="102"/>
        <v>0</v>
      </c>
      <c r="BT22" s="22">
        <f t="shared" ref="BT22:CR22" ca="1" si="103">BT20+BT21</f>
        <v>0</v>
      </c>
      <c r="BU22" s="22">
        <f t="shared" ca="1" si="103"/>
        <v>0</v>
      </c>
      <c r="BV22" s="22">
        <f t="shared" ca="1" si="103"/>
        <v>0</v>
      </c>
      <c r="BW22" s="22">
        <f t="shared" ca="1" si="103"/>
        <v>0</v>
      </c>
      <c r="BX22" s="22">
        <f t="shared" ca="1" si="103"/>
        <v>0</v>
      </c>
      <c r="BY22" s="22">
        <f t="shared" ca="1" si="103"/>
        <v>0</v>
      </c>
      <c r="BZ22" s="22">
        <f t="shared" ca="1" si="103"/>
        <v>0</v>
      </c>
      <c r="CA22" s="22">
        <f t="shared" ca="1" si="103"/>
        <v>0</v>
      </c>
      <c r="CB22" s="22">
        <f t="shared" ca="1" si="103"/>
        <v>0</v>
      </c>
      <c r="CC22" s="22">
        <f t="shared" ca="1" si="103"/>
        <v>0</v>
      </c>
      <c r="CD22" s="22">
        <f t="shared" ca="1" si="103"/>
        <v>0</v>
      </c>
      <c r="CE22" s="22">
        <f t="shared" ca="1" si="103"/>
        <v>0</v>
      </c>
      <c r="CF22" s="22">
        <f t="shared" ca="1" si="103"/>
        <v>0</v>
      </c>
      <c r="CG22" s="22">
        <f t="shared" ca="1" si="103"/>
        <v>0</v>
      </c>
      <c r="CH22" s="22">
        <f t="shared" ca="1" si="103"/>
        <v>0</v>
      </c>
      <c r="CI22" s="22">
        <f t="shared" ca="1" si="103"/>
        <v>0</v>
      </c>
      <c r="CJ22" s="22">
        <f t="shared" ca="1" si="103"/>
        <v>0</v>
      </c>
      <c r="CK22" s="22">
        <f t="shared" ca="1" si="103"/>
        <v>0</v>
      </c>
      <c r="CL22" s="22">
        <f t="shared" ca="1" si="103"/>
        <v>0</v>
      </c>
      <c r="CM22" s="22">
        <f t="shared" ca="1" si="103"/>
        <v>0</v>
      </c>
      <c r="CN22" s="22">
        <f t="shared" ca="1" si="103"/>
        <v>0</v>
      </c>
      <c r="CO22" s="22">
        <f t="shared" ca="1" si="103"/>
        <v>0</v>
      </c>
      <c r="CP22" s="22">
        <f t="shared" ca="1" si="103"/>
        <v>0</v>
      </c>
      <c r="CQ22" s="22">
        <f t="shared" ca="1" si="103"/>
        <v>0</v>
      </c>
      <c r="CR22" s="22">
        <f t="shared" ca="1" si="103"/>
        <v>0</v>
      </c>
    </row>
    <row r="23" spans="2:96" x14ac:dyDescent="0.3">
      <c r="C23" s="26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</row>
    <row r="24" spans="2:96" x14ac:dyDescent="0.3">
      <c r="B24" s="10" t="s">
        <v>55</v>
      </c>
      <c r="C24" s="10"/>
      <c r="D24" s="54" t="s">
        <v>60</v>
      </c>
      <c r="E24" s="11" t="s">
        <v>61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</row>
    <row r="25" spans="2:96" x14ac:dyDescent="0.3">
      <c r="B25" s="10" t="s">
        <v>56</v>
      </c>
      <c r="C25" s="19">
        <f ca="1">D25*C22</f>
        <v>64363103.737166457</v>
      </c>
      <c r="D25" s="64">
        <v>0.6</v>
      </c>
      <c r="E25" s="65">
        <v>0.05</v>
      </c>
      <c r="G25" s="19">
        <f ca="1">G22-G26</f>
        <v>0</v>
      </c>
      <c r="H25" s="19">
        <f t="shared" ref="H25:BS25" ca="1" si="104">H22-H26</f>
        <v>0</v>
      </c>
      <c r="I25" s="19">
        <f t="shared" ca="1" si="104"/>
        <v>0</v>
      </c>
      <c r="J25" s="19">
        <f t="shared" ca="1" si="104"/>
        <v>0</v>
      </c>
      <c r="K25" s="19">
        <f t="shared" ca="1" si="104"/>
        <v>0</v>
      </c>
      <c r="L25" s="19">
        <f t="shared" ca="1" si="104"/>
        <v>0</v>
      </c>
      <c r="M25" s="19">
        <f t="shared" ca="1" si="104"/>
        <v>0</v>
      </c>
      <c r="N25" s="19">
        <f t="shared" ca="1" si="104"/>
        <v>292482.85377977556</v>
      </c>
      <c r="O25" s="19">
        <f t="shared" ca="1" si="104"/>
        <v>2888253.0663338066</v>
      </c>
      <c r="P25" s="19">
        <f t="shared" ca="1" si="104"/>
        <v>2900337.807197128</v>
      </c>
      <c r="Q25" s="19">
        <f t="shared" ca="1" si="104"/>
        <v>2912473.1118297521</v>
      </c>
      <c r="R25" s="19">
        <f t="shared" ca="1" si="104"/>
        <v>2924659.1917955666</v>
      </c>
      <c r="S25" s="19">
        <f t="shared" ca="1" si="104"/>
        <v>2936896.2595436652</v>
      </c>
      <c r="T25" s="19">
        <f t="shared" ca="1" si="104"/>
        <v>2949184.5284120487</v>
      </c>
      <c r="U25" s="19">
        <f t="shared" ca="1" si="104"/>
        <v>2961524.2126313462</v>
      </c>
      <c r="V25" s="19">
        <f t="shared" ca="1" si="104"/>
        <v>2973915.5273285485</v>
      </c>
      <c r="W25" s="19">
        <f t="shared" ca="1" si="104"/>
        <v>2986358.6885307599</v>
      </c>
      <c r="X25" s="19">
        <f t="shared" ca="1" si="104"/>
        <v>2998853.913168964</v>
      </c>
      <c r="Y25" s="19">
        <f t="shared" ca="1" si="104"/>
        <v>4818932.7998349424</v>
      </c>
      <c r="Z25" s="19">
        <f t="shared" ca="1" si="104"/>
        <v>3031564.3178258841</v>
      </c>
      <c r="AA25" s="19">
        <f t="shared" ca="1" si="104"/>
        <v>3044248.6873565363</v>
      </c>
      <c r="AB25" s="19">
        <f t="shared" ca="1" si="104"/>
        <v>3056986.1295630489</v>
      </c>
      <c r="AC25" s="19">
        <f t="shared" ca="1" si="104"/>
        <v>3069776.8665068275</v>
      </c>
      <c r="AD25" s="19">
        <f t="shared" ca="1" si="104"/>
        <v>4890152.5019315425</v>
      </c>
      <c r="AE25" s="19">
        <f t="shared" ca="1" si="104"/>
        <v>6241157.3241153564</v>
      </c>
      <c r="AF25" s="19">
        <f t="shared" ca="1" si="104"/>
        <v>242166.35057608993</v>
      </c>
      <c r="AG25" s="19">
        <f t="shared" ca="1" si="104"/>
        <v>243179.59890486021</v>
      </c>
      <c r="AH25" s="19">
        <f t="shared" ca="1" si="104"/>
        <v>0</v>
      </c>
      <c r="AI25" s="19">
        <f t="shared" ca="1" si="104"/>
        <v>0</v>
      </c>
      <c r="AJ25" s="19">
        <f t="shared" ca="1" si="104"/>
        <v>6000000</v>
      </c>
      <c r="AK25" s="19">
        <f t="shared" ca="1" si="104"/>
        <v>0</v>
      </c>
      <c r="AL25" s="19">
        <f t="shared" ca="1" si="104"/>
        <v>0</v>
      </c>
      <c r="AM25" s="19">
        <f t="shared" ca="1" si="104"/>
        <v>0</v>
      </c>
      <c r="AN25" s="19">
        <f t="shared" ca="1" si="104"/>
        <v>0</v>
      </c>
      <c r="AO25" s="19">
        <f t="shared" ca="1" si="104"/>
        <v>0</v>
      </c>
      <c r="AP25" s="19">
        <f t="shared" ca="1" si="104"/>
        <v>0</v>
      </c>
      <c r="AQ25" s="19">
        <f t="shared" ca="1" si="104"/>
        <v>0</v>
      </c>
      <c r="AR25" s="19">
        <f t="shared" ca="1" si="104"/>
        <v>0</v>
      </c>
      <c r="AS25" s="19">
        <f t="shared" ca="1" si="104"/>
        <v>0</v>
      </c>
      <c r="AT25" s="19">
        <f t="shared" ca="1" si="104"/>
        <v>0</v>
      </c>
      <c r="AU25" s="19">
        <f t="shared" ca="1" si="104"/>
        <v>0</v>
      </c>
      <c r="AV25" s="19">
        <f t="shared" ca="1" si="104"/>
        <v>0</v>
      </c>
      <c r="AW25" s="19">
        <f t="shared" ca="1" si="104"/>
        <v>0</v>
      </c>
      <c r="AX25" s="19">
        <f t="shared" ca="1" si="104"/>
        <v>0</v>
      </c>
      <c r="AY25" s="19">
        <f t="shared" ca="1" si="104"/>
        <v>0</v>
      </c>
      <c r="AZ25" s="19">
        <f t="shared" ca="1" si="104"/>
        <v>0</v>
      </c>
      <c r="BA25" s="19">
        <f t="shared" ca="1" si="104"/>
        <v>0</v>
      </c>
      <c r="BB25" s="19">
        <f t="shared" ca="1" si="104"/>
        <v>0</v>
      </c>
      <c r="BC25" s="19">
        <f t="shared" ca="1" si="104"/>
        <v>0</v>
      </c>
      <c r="BD25" s="19">
        <f t="shared" ca="1" si="104"/>
        <v>0</v>
      </c>
      <c r="BE25" s="19">
        <f t="shared" ca="1" si="104"/>
        <v>0</v>
      </c>
      <c r="BF25" s="19">
        <f t="shared" ca="1" si="104"/>
        <v>0</v>
      </c>
      <c r="BG25" s="19">
        <f t="shared" ca="1" si="104"/>
        <v>0</v>
      </c>
      <c r="BH25" s="19">
        <f t="shared" ca="1" si="104"/>
        <v>0</v>
      </c>
      <c r="BI25" s="19">
        <f t="shared" ca="1" si="104"/>
        <v>0</v>
      </c>
      <c r="BJ25" s="19">
        <f t="shared" ca="1" si="104"/>
        <v>0</v>
      </c>
      <c r="BK25" s="19">
        <f t="shared" ca="1" si="104"/>
        <v>0</v>
      </c>
      <c r="BL25" s="19">
        <f t="shared" ca="1" si="104"/>
        <v>0</v>
      </c>
      <c r="BM25" s="19">
        <f t="shared" ca="1" si="104"/>
        <v>0</v>
      </c>
      <c r="BN25" s="19">
        <f t="shared" ca="1" si="104"/>
        <v>0</v>
      </c>
      <c r="BO25" s="19">
        <f t="shared" ca="1" si="104"/>
        <v>0</v>
      </c>
      <c r="BP25" s="19">
        <f t="shared" ca="1" si="104"/>
        <v>0</v>
      </c>
      <c r="BQ25" s="19">
        <f t="shared" ca="1" si="104"/>
        <v>0</v>
      </c>
      <c r="BR25" s="19">
        <f t="shared" ca="1" si="104"/>
        <v>0</v>
      </c>
      <c r="BS25" s="19">
        <f t="shared" ca="1" si="104"/>
        <v>0</v>
      </c>
      <c r="BT25" s="19">
        <f t="shared" ref="BT25:CR25" ca="1" si="105">BT22-BT26</f>
        <v>0</v>
      </c>
      <c r="BU25" s="19">
        <f t="shared" ca="1" si="105"/>
        <v>0</v>
      </c>
      <c r="BV25" s="19">
        <f t="shared" ca="1" si="105"/>
        <v>0</v>
      </c>
      <c r="BW25" s="19">
        <f t="shared" ca="1" si="105"/>
        <v>0</v>
      </c>
      <c r="BX25" s="19">
        <f t="shared" ca="1" si="105"/>
        <v>0</v>
      </c>
      <c r="BY25" s="19">
        <f t="shared" ca="1" si="105"/>
        <v>0</v>
      </c>
      <c r="BZ25" s="19">
        <f t="shared" ca="1" si="105"/>
        <v>0</v>
      </c>
      <c r="CA25" s="19">
        <f t="shared" ca="1" si="105"/>
        <v>0</v>
      </c>
      <c r="CB25" s="19">
        <f t="shared" ca="1" si="105"/>
        <v>0</v>
      </c>
      <c r="CC25" s="19">
        <f t="shared" ca="1" si="105"/>
        <v>0</v>
      </c>
      <c r="CD25" s="19">
        <f t="shared" ca="1" si="105"/>
        <v>0</v>
      </c>
      <c r="CE25" s="19">
        <f t="shared" ca="1" si="105"/>
        <v>0</v>
      </c>
      <c r="CF25" s="19">
        <f t="shared" ca="1" si="105"/>
        <v>0</v>
      </c>
      <c r="CG25" s="19">
        <f t="shared" ca="1" si="105"/>
        <v>0</v>
      </c>
      <c r="CH25" s="19">
        <f t="shared" ca="1" si="105"/>
        <v>0</v>
      </c>
      <c r="CI25" s="19">
        <f t="shared" ca="1" si="105"/>
        <v>0</v>
      </c>
      <c r="CJ25" s="19">
        <f t="shared" ca="1" si="105"/>
        <v>0</v>
      </c>
      <c r="CK25" s="19">
        <f t="shared" ca="1" si="105"/>
        <v>0</v>
      </c>
      <c r="CL25" s="19">
        <f t="shared" ca="1" si="105"/>
        <v>0</v>
      </c>
      <c r="CM25" s="19">
        <f t="shared" ca="1" si="105"/>
        <v>0</v>
      </c>
      <c r="CN25" s="19">
        <f t="shared" ca="1" si="105"/>
        <v>0</v>
      </c>
      <c r="CO25" s="19">
        <f t="shared" ca="1" si="105"/>
        <v>0</v>
      </c>
      <c r="CP25" s="19">
        <f t="shared" ca="1" si="105"/>
        <v>0</v>
      </c>
      <c r="CQ25" s="19">
        <f t="shared" ca="1" si="105"/>
        <v>0</v>
      </c>
      <c r="CR25" s="19">
        <f t="shared" ca="1" si="105"/>
        <v>0</v>
      </c>
    </row>
    <row r="26" spans="2:96" x14ac:dyDescent="0.3">
      <c r="B26" s="10" t="s">
        <v>57</v>
      </c>
      <c r="C26" s="19">
        <f ca="1">C22-C25</f>
        <v>42908735.82477764</v>
      </c>
      <c r="D26" s="40">
        <f>1-D25</f>
        <v>0.4</v>
      </c>
      <c r="E26" s="11"/>
      <c r="G26" s="19">
        <f ca="1">MIN(G22,$C$26-SUM($F$26:F26))</f>
        <v>23075000</v>
      </c>
      <c r="H26" s="19">
        <f ca="1">MIN(H22,$C$26-SUM($F$26:G26))</f>
        <v>2875000</v>
      </c>
      <c r="I26" s="19">
        <f ca="1">MIN(I22,$C$26-SUM($F$26:H26))</f>
        <v>2875000</v>
      </c>
      <c r="J26" s="19">
        <f ca="1">MIN(J22,$C$26-SUM($F$26:I26))</f>
        <v>2875000</v>
      </c>
      <c r="K26" s="19">
        <f ca="1">MIN(K22,$C$26-SUM($F$26:J26))</f>
        <v>2875000</v>
      </c>
      <c r="L26" s="19">
        <f ca="1">MIN(L22,$C$26-SUM($F$26:K26))</f>
        <v>2875000</v>
      </c>
      <c r="M26" s="19">
        <f ca="1">MIN(M22,$C$26-SUM($F$26:L26))</f>
        <v>2875000</v>
      </c>
      <c r="N26" s="19">
        <f ca="1">MIN(N22,$C$26-SUM($F$26:M26))</f>
        <v>2583735.8247776404</v>
      </c>
      <c r="O26" s="19">
        <f ca="1">MIN(O22,$C$26-SUM($F$26:N26))</f>
        <v>0</v>
      </c>
      <c r="P26" s="19">
        <f ca="1">MIN(P22,$C$26-SUM($F$26:O26))</f>
        <v>0</v>
      </c>
      <c r="Q26" s="19">
        <f ca="1">MIN(Q22,$C$26-SUM($F$26:P26))</f>
        <v>0</v>
      </c>
      <c r="R26" s="19">
        <f ca="1">MIN(R22,$C$26-SUM($F$26:Q26))</f>
        <v>0</v>
      </c>
      <c r="S26" s="19">
        <f ca="1">MIN(S22,$C$26-SUM($F$26:R26))</f>
        <v>0</v>
      </c>
      <c r="T26" s="19">
        <f ca="1">MIN(T22,$C$26-SUM($F$26:S26))</f>
        <v>0</v>
      </c>
      <c r="U26" s="19">
        <f ca="1">MIN(U22,$C$26-SUM($F$26:T26))</f>
        <v>0</v>
      </c>
      <c r="V26" s="19">
        <f ca="1">MIN(V22,$C$26-SUM($F$26:U26))</f>
        <v>0</v>
      </c>
      <c r="W26" s="19">
        <f ca="1">MIN(W22,$C$26-SUM($F$26:V26))</f>
        <v>0</v>
      </c>
      <c r="X26" s="19">
        <f ca="1">MIN(X22,$C$26-SUM($F$26:W26))</f>
        <v>0</v>
      </c>
      <c r="Y26" s="19">
        <f ca="1">MIN(Y22,$C$26-SUM($F$26:X26))</f>
        <v>0</v>
      </c>
      <c r="Z26" s="19">
        <f ca="1">MIN(Z22,$C$26-SUM($F$26:Y26))</f>
        <v>0</v>
      </c>
      <c r="AA26" s="19">
        <f ca="1">MIN(AA22,$C$26-SUM($F$26:Z26))</f>
        <v>0</v>
      </c>
      <c r="AB26" s="19">
        <f ca="1">MIN(AB22,$C$26-SUM($F$26:AA26))</f>
        <v>0</v>
      </c>
      <c r="AC26" s="19">
        <f ca="1">MIN(AC22,$C$26-SUM($F$26:AB26))</f>
        <v>0</v>
      </c>
      <c r="AD26" s="19">
        <f ca="1">MIN(AD22,$C$26-SUM($F$26:AC26))</f>
        <v>0</v>
      </c>
      <c r="AE26" s="19">
        <f ca="1">MIN(AE22,$C$26-SUM($F$26:AD26))</f>
        <v>0</v>
      </c>
      <c r="AF26" s="19">
        <f ca="1">MIN(AF22,$C$26-SUM($F$26:AE26))</f>
        <v>0</v>
      </c>
      <c r="AG26" s="19">
        <f ca="1">MIN(AG22,$C$26-SUM($F$26:AF26))</f>
        <v>0</v>
      </c>
      <c r="AH26" s="19">
        <f ca="1">MIN(AH22,$C$26-SUM($F$26:AG26))</f>
        <v>0</v>
      </c>
      <c r="AI26" s="19">
        <f ca="1">MIN(AI22,$C$26-SUM($F$26:AH26))</f>
        <v>0</v>
      </c>
      <c r="AJ26" s="19">
        <f ca="1">MIN(AJ22,$C$26-SUM($F$26:AI26))</f>
        <v>0</v>
      </c>
      <c r="AK26" s="19">
        <f ca="1">MIN(AK22,$C$26-SUM($F$26:AJ26))</f>
        <v>0</v>
      </c>
      <c r="AL26" s="19">
        <f ca="1">MIN(AL22,$C$26-SUM($F$26:AK26))</f>
        <v>0</v>
      </c>
      <c r="AM26" s="19">
        <f ca="1">MIN(AM22,$C$26-SUM($F$26:AL26))</f>
        <v>0</v>
      </c>
      <c r="AN26" s="19">
        <f ca="1">MIN(AN22,$C$26-SUM($F$26:AM26))</f>
        <v>0</v>
      </c>
      <c r="AO26" s="19">
        <f ca="1">MIN(AO22,$C$26-SUM($F$26:AN26))</f>
        <v>0</v>
      </c>
      <c r="AP26" s="19">
        <f ca="1">MIN(AP22,$C$26-SUM($F$26:AO26))</f>
        <v>0</v>
      </c>
      <c r="AQ26" s="19">
        <f ca="1">MIN(AQ22,$C$26-SUM($F$26:AP26))</f>
        <v>0</v>
      </c>
      <c r="AR26" s="19">
        <f ca="1">MIN(AR22,$C$26-SUM($F$26:AQ26))</f>
        <v>0</v>
      </c>
      <c r="AS26" s="19">
        <f ca="1">MIN(AS22,$C$26-SUM($F$26:AR26))</f>
        <v>0</v>
      </c>
      <c r="AT26" s="19">
        <f ca="1">MIN(AT22,$C$26-SUM($F$26:AS26))</f>
        <v>0</v>
      </c>
      <c r="AU26" s="19">
        <f ca="1">MIN(AU22,$C$26-SUM($F$26:AT26))</f>
        <v>0</v>
      </c>
      <c r="AV26" s="19">
        <f ca="1">MIN(AV22,$C$26-SUM($F$26:AU26))</f>
        <v>0</v>
      </c>
      <c r="AW26" s="19">
        <f ca="1">MIN(AW22,$C$26-SUM($F$26:AV26))</f>
        <v>0</v>
      </c>
      <c r="AX26" s="19">
        <f ca="1">MIN(AX22,$C$26-SUM($F$26:AW26))</f>
        <v>0</v>
      </c>
      <c r="AY26" s="19">
        <f ca="1">MIN(AY22,$C$26-SUM($F$26:AX26))</f>
        <v>0</v>
      </c>
      <c r="AZ26" s="19">
        <f ca="1">MIN(AZ22,$C$26-SUM($F$26:AY26))</f>
        <v>0</v>
      </c>
      <c r="BA26" s="19">
        <f ca="1">MIN(BA22,$C$26-SUM($F$26:AZ26))</f>
        <v>0</v>
      </c>
      <c r="BB26" s="19">
        <f ca="1">MIN(BB22,$C$26-SUM($F$26:BA26))</f>
        <v>0</v>
      </c>
      <c r="BC26" s="19">
        <f ca="1">MIN(BC22,$C$26-SUM($F$26:BB26))</f>
        <v>0</v>
      </c>
      <c r="BD26" s="19">
        <f ca="1">MIN(BD22,$C$26-SUM($F$26:BC26))</f>
        <v>0</v>
      </c>
      <c r="BE26" s="19">
        <f ca="1">MIN(BE22,$C$26-SUM($F$26:BD26))</f>
        <v>0</v>
      </c>
      <c r="BF26" s="19">
        <f ca="1">MIN(BF22,$C$26-SUM($F$26:BE26))</f>
        <v>0</v>
      </c>
      <c r="BG26" s="19">
        <f ca="1">MIN(BG22,$C$26-SUM($F$26:BF26))</f>
        <v>0</v>
      </c>
      <c r="BH26" s="19">
        <f ca="1">MIN(BH22,$C$26-SUM($F$26:BG26))</f>
        <v>0</v>
      </c>
      <c r="BI26" s="19">
        <f ca="1">MIN(BI22,$C$26-SUM($F$26:BH26))</f>
        <v>0</v>
      </c>
      <c r="BJ26" s="19">
        <f ca="1">MIN(BJ22,$C$26-SUM($F$26:BI26))</f>
        <v>0</v>
      </c>
      <c r="BK26" s="19">
        <f ca="1">MIN(BK22,$C$26-SUM($F$26:BJ26))</f>
        <v>0</v>
      </c>
      <c r="BL26" s="19">
        <f ca="1">MIN(BL22,$C$26-SUM($F$26:BK26))</f>
        <v>0</v>
      </c>
      <c r="BM26" s="19">
        <f ca="1">MIN(BM22,$C$26-SUM($F$26:BL26))</f>
        <v>0</v>
      </c>
      <c r="BN26" s="19">
        <f ca="1">MIN(BN22,$C$26-SUM($F$26:BM26))</f>
        <v>0</v>
      </c>
      <c r="BO26" s="19">
        <f ca="1">MIN(BO22,$C$26-SUM($F$26:BN26))</f>
        <v>0</v>
      </c>
      <c r="BP26" s="19">
        <f ca="1">MIN(BP22,$C$26-SUM($F$26:BO26))</f>
        <v>0</v>
      </c>
      <c r="BQ26" s="19">
        <f ca="1">MIN(BQ22,$C$26-SUM($F$26:BP26))</f>
        <v>0</v>
      </c>
      <c r="BR26" s="19">
        <f ca="1">MIN(BR22,$C$26-SUM($F$26:BQ26))</f>
        <v>0</v>
      </c>
      <c r="BS26" s="19">
        <f ca="1">MIN(BS22,$C$26-SUM($F$26:BR26))</f>
        <v>0</v>
      </c>
      <c r="BT26" s="19">
        <f ca="1">MIN(BT22,$C$26-SUM($F$26:BS26))</f>
        <v>0</v>
      </c>
      <c r="BU26" s="19">
        <f ca="1">MIN(BU22,$C$26-SUM($F$26:BT26))</f>
        <v>0</v>
      </c>
      <c r="BV26" s="19">
        <f ca="1">MIN(BV22,$C$26-SUM($F$26:BU26))</f>
        <v>0</v>
      </c>
      <c r="BW26" s="19">
        <f ca="1">MIN(BW22,$C$26-SUM($F$26:BV26))</f>
        <v>0</v>
      </c>
      <c r="BX26" s="19">
        <f ca="1">MIN(BX22,$C$26-SUM($F$26:BW26))</f>
        <v>0</v>
      </c>
      <c r="BY26" s="19">
        <f ca="1">MIN(BY22,$C$26-SUM($F$26:BX26))</f>
        <v>0</v>
      </c>
      <c r="BZ26" s="19">
        <f ca="1">MIN(BZ22,$C$26-SUM($F$26:BY26))</f>
        <v>0</v>
      </c>
      <c r="CA26" s="19">
        <f ca="1">MIN(CA22,$C$26-SUM($F$26:BZ26))</f>
        <v>0</v>
      </c>
      <c r="CB26" s="19">
        <f ca="1">MIN(CB22,$C$26-SUM($F$26:CA26))</f>
        <v>0</v>
      </c>
      <c r="CC26" s="19">
        <f ca="1">MIN(CC22,$C$26-SUM($F$26:CB26))</f>
        <v>0</v>
      </c>
      <c r="CD26" s="19">
        <f ca="1">MIN(CD22,$C$26-SUM($F$26:CC26))</f>
        <v>0</v>
      </c>
      <c r="CE26" s="19">
        <f ca="1">MIN(CE22,$C$26-SUM($F$26:CD26))</f>
        <v>0</v>
      </c>
      <c r="CF26" s="19">
        <f ca="1">MIN(CF22,$C$26-SUM($F$26:CE26))</f>
        <v>0</v>
      </c>
      <c r="CG26" s="19">
        <f ca="1">MIN(CG22,$C$26-SUM($F$26:CF26))</f>
        <v>0</v>
      </c>
      <c r="CH26" s="19">
        <f ca="1">MIN(CH22,$C$26-SUM($F$26:CG26))</f>
        <v>0</v>
      </c>
      <c r="CI26" s="19">
        <f ca="1">MIN(CI22,$C$26-SUM($F$26:CH26))</f>
        <v>0</v>
      </c>
      <c r="CJ26" s="19">
        <f ca="1">MIN(CJ22,$C$26-SUM($F$26:CI26))</f>
        <v>0</v>
      </c>
      <c r="CK26" s="19">
        <f ca="1">MIN(CK22,$C$26-SUM($F$26:CJ26))</f>
        <v>0</v>
      </c>
      <c r="CL26" s="19">
        <f ca="1">MIN(CL22,$C$26-SUM($F$26:CK26))</f>
        <v>0</v>
      </c>
      <c r="CM26" s="19">
        <f ca="1">MIN(CM22,$C$26-SUM($F$26:CL26))</f>
        <v>0</v>
      </c>
      <c r="CN26" s="19">
        <f ca="1">MIN(CN22,$C$26-SUM($F$26:CM26))</f>
        <v>0</v>
      </c>
      <c r="CO26" s="19">
        <f ca="1">MIN(CO22,$C$26-SUM($F$26:CN26))</f>
        <v>0</v>
      </c>
      <c r="CP26" s="19">
        <f ca="1">MIN(CP22,$C$26-SUM($F$26:CO26))</f>
        <v>0</v>
      </c>
      <c r="CQ26" s="19">
        <f ca="1">MIN(CQ22,$C$26-SUM($F$26:CP26))</f>
        <v>0</v>
      </c>
      <c r="CR26" s="19">
        <f ca="1">MIN(CR22,$C$26-SUM($F$26:CQ26))</f>
        <v>0</v>
      </c>
    </row>
    <row r="27" spans="2:96" x14ac:dyDescent="0.3">
      <c r="B27" s="10" t="s">
        <v>58</v>
      </c>
      <c r="C27" s="19">
        <f ca="1">SUM(C25:C26)</f>
        <v>107271839.5619441</v>
      </c>
      <c r="D27" s="40">
        <f>SUM(D25:D26)</f>
        <v>1</v>
      </c>
      <c r="E27" s="11"/>
      <c r="G27" s="22">
        <f ca="1">G26+G25</f>
        <v>23075000</v>
      </c>
      <c r="H27" s="22">
        <f t="shared" ref="H27:BS27" ca="1" si="106">H26+H25</f>
        <v>2875000</v>
      </c>
      <c r="I27" s="22">
        <f t="shared" ca="1" si="106"/>
        <v>2875000</v>
      </c>
      <c r="J27" s="22">
        <f t="shared" ca="1" si="106"/>
        <v>2875000</v>
      </c>
      <c r="K27" s="22">
        <f t="shared" ca="1" si="106"/>
        <v>2875000</v>
      </c>
      <c r="L27" s="22">
        <f t="shared" ca="1" si="106"/>
        <v>2875000</v>
      </c>
      <c r="M27" s="22">
        <f t="shared" ca="1" si="106"/>
        <v>2875000</v>
      </c>
      <c r="N27" s="22">
        <f t="shared" ca="1" si="106"/>
        <v>2876218.678557416</v>
      </c>
      <c r="O27" s="22">
        <f t="shared" ca="1" si="106"/>
        <v>2888253.0663338066</v>
      </c>
      <c r="P27" s="22">
        <f t="shared" ca="1" si="106"/>
        <v>2900337.807197128</v>
      </c>
      <c r="Q27" s="22">
        <f t="shared" ca="1" si="106"/>
        <v>2912473.1118297521</v>
      </c>
      <c r="R27" s="22">
        <f t="shared" ca="1" si="106"/>
        <v>2924659.1917955666</v>
      </c>
      <c r="S27" s="22">
        <f t="shared" ca="1" si="106"/>
        <v>2936896.2595436652</v>
      </c>
      <c r="T27" s="22">
        <f t="shared" ca="1" si="106"/>
        <v>2949184.5284120487</v>
      </c>
      <c r="U27" s="22">
        <f t="shared" ca="1" si="106"/>
        <v>2961524.2126313462</v>
      </c>
      <c r="V27" s="22">
        <f t="shared" ca="1" si="106"/>
        <v>2973915.5273285485</v>
      </c>
      <c r="W27" s="22">
        <f t="shared" ca="1" si="106"/>
        <v>2986358.6885307599</v>
      </c>
      <c r="X27" s="22">
        <f t="shared" ca="1" si="106"/>
        <v>2998853.913168964</v>
      </c>
      <c r="Y27" s="22">
        <f t="shared" ca="1" si="106"/>
        <v>4818932.7998349424</v>
      </c>
      <c r="Z27" s="22">
        <f t="shared" ca="1" si="106"/>
        <v>3031564.3178258841</v>
      </c>
      <c r="AA27" s="22">
        <f t="shared" ca="1" si="106"/>
        <v>3044248.6873565363</v>
      </c>
      <c r="AB27" s="22">
        <f t="shared" ca="1" si="106"/>
        <v>3056986.1295630489</v>
      </c>
      <c r="AC27" s="22">
        <f t="shared" ca="1" si="106"/>
        <v>3069776.8665068275</v>
      </c>
      <c r="AD27" s="22">
        <f t="shared" ca="1" si="106"/>
        <v>4890152.5019315425</v>
      </c>
      <c r="AE27" s="22">
        <f t="shared" ca="1" si="106"/>
        <v>6241157.3241153564</v>
      </c>
      <c r="AF27" s="22">
        <f t="shared" ca="1" si="106"/>
        <v>242166.35057608993</v>
      </c>
      <c r="AG27" s="22">
        <f t="shared" ca="1" si="106"/>
        <v>243179.59890486021</v>
      </c>
      <c r="AH27" s="22">
        <f t="shared" ca="1" si="106"/>
        <v>0</v>
      </c>
      <c r="AI27" s="22">
        <f t="shared" ca="1" si="106"/>
        <v>0</v>
      </c>
      <c r="AJ27" s="22">
        <f t="shared" ca="1" si="106"/>
        <v>6000000</v>
      </c>
      <c r="AK27" s="22">
        <f t="shared" ca="1" si="106"/>
        <v>0</v>
      </c>
      <c r="AL27" s="22">
        <f t="shared" ca="1" si="106"/>
        <v>0</v>
      </c>
      <c r="AM27" s="22">
        <f t="shared" ca="1" si="106"/>
        <v>0</v>
      </c>
      <c r="AN27" s="22">
        <f t="shared" ca="1" si="106"/>
        <v>0</v>
      </c>
      <c r="AO27" s="22">
        <f t="shared" ca="1" si="106"/>
        <v>0</v>
      </c>
      <c r="AP27" s="22">
        <f t="shared" ca="1" si="106"/>
        <v>0</v>
      </c>
      <c r="AQ27" s="22">
        <f t="shared" ca="1" si="106"/>
        <v>0</v>
      </c>
      <c r="AR27" s="22">
        <f t="shared" ca="1" si="106"/>
        <v>0</v>
      </c>
      <c r="AS27" s="22">
        <f t="shared" ca="1" si="106"/>
        <v>0</v>
      </c>
      <c r="AT27" s="22">
        <f t="shared" ca="1" si="106"/>
        <v>0</v>
      </c>
      <c r="AU27" s="22">
        <f t="shared" ca="1" si="106"/>
        <v>0</v>
      </c>
      <c r="AV27" s="22">
        <f t="shared" ca="1" si="106"/>
        <v>0</v>
      </c>
      <c r="AW27" s="22">
        <f t="shared" ca="1" si="106"/>
        <v>0</v>
      </c>
      <c r="AX27" s="22">
        <f t="shared" ca="1" si="106"/>
        <v>0</v>
      </c>
      <c r="AY27" s="22">
        <f t="shared" ca="1" si="106"/>
        <v>0</v>
      </c>
      <c r="AZ27" s="22">
        <f t="shared" ca="1" si="106"/>
        <v>0</v>
      </c>
      <c r="BA27" s="22">
        <f t="shared" ca="1" si="106"/>
        <v>0</v>
      </c>
      <c r="BB27" s="22">
        <f t="shared" ca="1" si="106"/>
        <v>0</v>
      </c>
      <c r="BC27" s="22">
        <f t="shared" ca="1" si="106"/>
        <v>0</v>
      </c>
      <c r="BD27" s="22">
        <f t="shared" ca="1" si="106"/>
        <v>0</v>
      </c>
      <c r="BE27" s="22">
        <f t="shared" ca="1" si="106"/>
        <v>0</v>
      </c>
      <c r="BF27" s="22">
        <f t="shared" ca="1" si="106"/>
        <v>0</v>
      </c>
      <c r="BG27" s="22">
        <f t="shared" ca="1" si="106"/>
        <v>0</v>
      </c>
      <c r="BH27" s="22">
        <f t="shared" ca="1" si="106"/>
        <v>0</v>
      </c>
      <c r="BI27" s="22">
        <f t="shared" ca="1" si="106"/>
        <v>0</v>
      </c>
      <c r="BJ27" s="22">
        <f t="shared" ca="1" si="106"/>
        <v>0</v>
      </c>
      <c r="BK27" s="22">
        <f t="shared" ca="1" si="106"/>
        <v>0</v>
      </c>
      <c r="BL27" s="22">
        <f t="shared" ca="1" si="106"/>
        <v>0</v>
      </c>
      <c r="BM27" s="22">
        <f t="shared" ca="1" si="106"/>
        <v>0</v>
      </c>
      <c r="BN27" s="22">
        <f t="shared" ca="1" si="106"/>
        <v>0</v>
      </c>
      <c r="BO27" s="22">
        <f t="shared" ca="1" si="106"/>
        <v>0</v>
      </c>
      <c r="BP27" s="22">
        <f t="shared" ca="1" si="106"/>
        <v>0</v>
      </c>
      <c r="BQ27" s="22">
        <f t="shared" ca="1" si="106"/>
        <v>0</v>
      </c>
      <c r="BR27" s="22">
        <f t="shared" ca="1" si="106"/>
        <v>0</v>
      </c>
      <c r="BS27" s="22">
        <f t="shared" ca="1" si="106"/>
        <v>0</v>
      </c>
      <c r="BT27" s="22">
        <f t="shared" ref="BT27:CR27" ca="1" si="107">BT26+BT25</f>
        <v>0</v>
      </c>
      <c r="BU27" s="22">
        <f t="shared" ca="1" si="107"/>
        <v>0</v>
      </c>
      <c r="BV27" s="22">
        <f t="shared" ca="1" si="107"/>
        <v>0</v>
      </c>
      <c r="BW27" s="22">
        <f t="shared" ca="1" si="107"/>
        <v>0</v>
      </c>
      <c r="BX27" s="22">
        <f t="shared" ca="1" si="107"/>
        <v>0</v>
      </c>
      <c r="BY27" s="22">
        <f t="shared" ca="1" si="107"/>
        <v>0</v>
      </c>
      <c r="BZ27" s="22">
        <f t="shared" ca="1" si="107"/>
        <v>0</v>
      </c>
      <c r="CA27" s="22">
        <f t="shared" ca="1" si="107"/>
        <v>0</v>
      </c>
      <c r="CB27" s="22">
        <f t="shared" ca="1" si="107"/>
        <v>0</v>
      </c>
      <c r="CC27" s="22">
        <f t="shared" ca="1" si="107"/>
        <v>0</v>
      </c>
      <c r="CD27" s="22">
        <f t="shared" ca="1" si="107"/>
        <v>0</v>
      </c>
      <c r="CE27" s="22">
        <f t="shared" ca="1" si="107"/>
        <v>0</v>
      </c>
      <c r="CF27" s="22">
        <f t="shared" ca="1" si="107"/>
        <v>0</v>
      </c>
      <c r="CG27" s="22">
        <f t="shared" ca="1" si="107"/>
        <v>0</v>
      </c>
      <c r="CH27" s="22">
        <f t="shared" ca="1" si="107"/>
        <v>0</v>
      </c>
      <c r="CI27" s="22">
        <f t="shared" ca="1" si="107"/>
        <v>0</v>
      </c>
      <c r="CJ27" s="22">
        <f t="shared" ca="1" si="107"/>
        <v>0</v>
      </c>
      <c r="CK27" s="22">
        <f t="shared" ca="1" si="107"/>
        <v>0</v>
      </c>
      <c r="CL27" s="22">
        <f t="shared" ca="1" si="107"/>
        <v>0</v>
      </c>
      <c r="CM27" s="22">
        <f t="shared" ca="1" si="107"/>
        <v>0</v>
      </c>
      <c r="CN27" s="22">
        <f t="shared" ca="1" si="107"/>
        <v>0</v>
      </c>
      <c r="CO27" s="22">
        <f t="shared" ca="1" si="107"/>
        <v>0</v>
      </c>
      <c r="CP27" s="22">
        <f t="shared" ca="1" si="107"/>
        <v>0</v>
      </c>
      <c r="CQ27" s="22">
        <f t="shared" ca="1" si="107"/>
        <v>0</v>
      </c>
      <c r="CR27" s="22">
        <f t="shared" ca="1" si="107"/>
        <v>0</v>
      </c>
    </row>
    <row r="28" spans="2:96" x14ac:dyDescent="0.3">
      <c r="B28" s="10" t="s">
        <v>59</v>
      </c>
      <c r="C28" s="10"/>
      <c r="G28" s="19">
        <f ca="1">SUM($G$25:G25)</f>
        <v>0</v>
      </c>
      <c r="H28" s="19">
        <f ca="1">SUM($G$25:H25)</f>
        <v>0</v>
      </c>
      <c r="I28" s="19">
        <f ca="1">SUM($G$25:I25)</f>
        <v>0</v>
      </c>
      <c r="J28" s="19">
        <f ca="1">SUM($G$25:J25)</f>
        <v>0</v>
      </c>
      <c r="K28" s="19">
        <f ca="1">SUM($G$25:K25)</f>
        <v>0</v>
      </c>
      <c r="L28" s="19">
        <f ca="1">SUM($G$25:L25)</f>
        <v>0</v>
      </c>
      <c r="M28" s="19">
        <f ca="1">SUM($G$25:M25)</f>
        <v>0</v>
      </c>
      <c r="N28" s="19">
        <f ca="1">SUM($G$25:N25)</f>
        <v>292482.85377977556</v>
      </c>
      <c r="O28" s="19">
        <f ca="1">SUM($G$25:O25)</f>
        <v>3180735.9201135822</v>
      </c>
      <c r="P28" s="19">
        <f ca="1">SUM($G$25:P25)</f>
        <v>6081073.7273107097</v>
      </c>
      <c r="Q28" s="19">
        <f ca="1">SUM($G$25:Q25)</f>
        <v>8993546.8391404618</v>
      </c>
      <c r="R28" s="19">
        <f ca="1">SUM($G$25:R25)</f>
        <v>11918206.030936029</v>
      </c>
      <c r="S28" s="19">
        <f ca="1">SUM($G$25:S25)</f>
        <v>14855102.290479694</v>
      </c>
      <c r="T28" s="19">
        <f ca="1">SUM($G$25:T25)</f>
        <v>17804286.818891741</v>
      </c>
      <c r="U28" s="19">
        <f ca="1">SUM($G$25:U25)</f>
        <v>20765811.031523086</v>
      </c>
      <c r="V28" s="19">
        <f ca="1">SUM($G$25:V25)</f>
        <v>23739726.558851633</v>
      </c>
      <c r="W28" s="19">
        <f ca="1">SUM($G$25:W25)</f>
        <v>26726085.247382395</v>
      </c>
      <c r="X28" s="19">
        <f ca="1">SUM($G$25:X25)</f>
        <v>29724939.160551358</v>
      </c>
      <c r="Y28" s="19">
        <f ca="1">SUM($G$25:Y25)</f>
        <v>34543871.960386299</v>
      </c>
      <c r="Z28" s="19">
        <f ca="1">SUM($G$25:Z25)</f>
        <v>37575436.278212182</v>
      </c>
      <c r="AA28" s="19">
        <f ca="1">SUM($G$25:AA25)</f>
        <v>40619684.965568721</v>
      </c>
      <c r="AB28" s="19">
        <f ca="1">SUM($G$25:AB25)</f>
        <v>43676671.09513177</v>
      </c>
      <c r="AC28" s="19">
        <f ca="1">SUM($G$25:AC25)</f>
        <v>46746447.9616386</v>
      </c>
      <c r="AD28" s="19">
        <f ca="1">SUM($G$25:AD25)</f>
        <v>51636600.46357014</v>
      </c>
      <c r="AE28" s="19">
        <f ca="1">SUM($G$25:AE25)</f>
        <v>57877757.787685499</v>
      </c>
      <c r="AF28" s="19">
        <f ca="1">SUM($G$25:AF25)</f>
        <v>58119924.138261586</v>
      </c>
      <c r="AG28" s="19">
        <f ca="1">SUM($G$25:AG25)</f>
        <v>58363103.737166449</v>
      </c>
      <c r="AH28" s="19">
        <f ca="1">SUM($G$25:AH25)</f>
        <v>58363103.737166449</v>
      </c>
      <c r="AI28" s="19">
        <f ca="1">SUM($G$25:AI25)</f>
        <v>58363103.737166449</v>
      </c>
      <c r="AJ28" s="19">
        <f ca="1">SUM($G$25:AJ25)</f>
        <v>64363103.737166449</v>
      </c>
      <c r="AK28" s="19">
        <f ca="1">SUM($G$25:AK25)</f>
        <v>64363103.737166449</v>
      </c>
      <c r="AL28" s="19">
        <f ca="1">SUM($G$25:AL25)</f>
        <v>64363103.737166449</v>
      </c>
      <c r="AM28" s="19">
        <f ca="1">SUM($G$25:AM25)</f>
        <v>64363103.737166449</v>
      </c>
      <c r="AN28" s="19">
        <f ca="1">SUM($G$25:AN25)</f>
        <v>64363103.737166449</v>
      </c>
      <c r="AO28" s="19">
        <f ca="1">SUM($G$25:AO25)</f>
        <v>64363103.737166449</v>
      </c>
      <c r="AP28" s="19">
        <f ca="1">SUM($G$25:AP25)</f>
        <v>64363103.737166449</v>
      </c>
      <c r="AQ28" s="19">
        <f ca="1">SUM($G$25:AQ25)</f>
        <v>64363103.737166449</v>
      </c>
      <c r="AR28" s="19">
        <f ca="1">SUM($G$25:AR25)</f>
        <v>64363103.737166449</v>
      </c>
      <c r="AS28" s="19">
        <f ca="1">SUM($G$25:AS25)</f>
        <v>64363103.737166449</v>
      </c>
      <c r="AT28" s="19">
        <f ca="1">SUM($G$25:AT25)</f>
        <v>64363103.737166449</v>
      </c>
      <c r="AU28" s="19">
        <f ca="1">SUM($G$25:AU25)</f>
        <v>64363103.737166449</v>
      </c>
      <c r="AV28" s="19">
        <f ca="1">SUM($G$25:AV25)</f>
        <v>64363103.737166449</v>
      </c>
      <c r="AW28" s="19">
        <f ca="1">SUM($G$25:AW25)</f>
        <v>64363103.737166449</v>
      </c>
      <c r="AX28" s="19">
        <f ca="1">SUM($G$25:AX25)</f>
        <v>64363103.737166449</v>
      </c>
      <c r="AY28" s="19">
        <f ca="1">SUM($G$25:AY25)</f>
        <v>64363103.737166449</v>
      </c>
      <c r="AZ28" s="19">
        <f ca="1">SUM($G$25:AZ25)</f>
        <v>64363103.737166449</v>
      </c>
      <c r="BA28" s="19">
        <f ca="1">SUM($G$25:BA25)</f>
        <v>64363103.737166449</v>
      </c>
      <c r="BB28" s="19">
        <f ca="1">SUM($G$25:BB25)</f>
        <v>64363103.737166449</v>
      </c>
      <c r="BC28" s="19">
        <f ca="1">SUM($G$25:BC25)</f>
        <v>64363103.737166449</v>
      </c>
      <c r="BD28" s="19">
        <f ca="1">SUM($G$25:BD25)</f>
        <v>64363103.737166449</v>
      </c>
      <c r="BE28" s="19">
        <f ca="1">SUM($G$25:BE25)</f>
        <v>64363103.737166449</v>
      </c>
      <c r="BF28" s="19">
        <f ca="1">SUM($G$25:BF25)</f>
        <v>64363103.737166449</v>
      </c>
      <c r="BG28" s="19">
        <f ca="1">SUM($G$25:BG25)</f>
        <v>64363103.737166449</v>
      </c>
      <c r="BH28" s="19">
        <f ca="1">SUM($G$25:BH25)</f>
        <v>64363103.737166449</v>
      </c>
      <c r="BI28" s="19">
        <f ca="1">SUM($G$25:BI25)</f>
        <v>64363103.737166449</v>
      </c>
      <c r="BJ28" s="19">
        <f ca="1">SUM($G$25:BJ25)</f>
        <v>64363103.737166449</v>
      </c>
      <c r="BK28" s="19">
        <f ca="1">SUM($G$25:BK25)</f>
        <v>64363103.737166449</v>
      </c>
      <c r="BL28" s="19">
        <f ca="1">SUM($G$25:BL25)</f>
        <v>64363103.737166449</v>
      </c>
      <c r="BM28" s="19">
        <f ca="1">SUM($G$25:BM25)</f>
        <v>64363103.737166449</v>
      </c>
      <c r="BN28" s="19">
        <f ca="1">SUM($G$25:BN25)</f>
        <v>64363103.737166449</v>
      </c>
      <c r="BO28" s="19">
        <f ca="1">SUM($G$25:BO25)</f>
        <v>64363103.737166449</v>
      </c>
      <c r="BP28" s="19">
        <f ca="1">SUM($G$25:BP25)</f>
        <v>64363103.737166449</v>
      </c>
      <c r="BQ28" s="19">
        <f ca="1">SUM($G$25:BQ25)</f>
        <v>64363103.737166449</v>
      </c>
      <c r="BR28" s="19">
        <f ca="1">SUM($G$25:BR25)</f>
        <v>64363103.737166449</v>
      </c>
      <c r="BS28" s="19">
        <f ca="1">SUM($G$25:BS25)</f>
        <v>64363103.737166449</v>
      </c>
      <c r="BT28" s="19">
        <f ca="1">SUM($G$25:BT25)</f>
        <v>64363103.737166449</v>
      </c>
      <c r="BU28" s="19">
        <f ca="1">SUM($G$25:BU25)</f>
        <v>64363103.737166449</v>
      </c>
      <c r="BV28" s="19">
        <f ca="1">SUM($G$25:BV25)</f>
        <v>64363103.737166449</v>
      </c>
      <c r="BW28" s="19">
        <f ca="1">SUM($G$25:BW25)</f>
        <v>64363103.737166449</v>
      </c>
      <c r="BX28" s="19">
        <f ca="1">SUM($G$25:BX25)</f>
        <v>64363103.737166449</v>
      </c>
      <c r="BY28" s="19">
        <f ca="1">SUM($G$25:BY25)</f>
        <v>64363103.737166449</v>
      </c>
      <c r="BZ28" s="19">
        <f ca="1">SUM($G$25:BZ25)</f>
        <v>64363103.737166449</v>
      </c>
      <c r="CA28" s="19">
        <f ca="1">SUM($G$25:CA25)</f>
        <v>64363103.737166449</v>
      </c>
      <c r="CB28" s="19">
        <f ca="1">SUM($G$25:CB25)</f>
        <v>64363103.737166449</v>
      </c>
      <c r="CC28" s="19">
        <f ca="1">SUM($G$25:CC25)</f>
        <v>64363103.737166449</v>
      </c>
      <c r="CD28" s="19">
        <f ca="1">SUM($G$25:CD25)</f>
        <v>64363103.737166449</v>
      </c>
      <c r="CE28" s="19">
        <f ca="1">SUM($G$25:CE25)</f>
        <v>64363103.737166449</v>
      </c>
      <c r="CF28" s="19">
        <f ca="1">SUM($G$25:CF25)</f>
        <v>64363103.737166449</v>
      </c>
      <c r="CG28" s="19">
        <f ca="1">SUM($G$25:CG25)</f>
        <v>64363103.737166449</v>
      </c>
      <c r="CH28" s="19">
        <f ca="1">SUM($G$25:CH25)</f>
        <v>64363103.737166449</v>
      </c>
      <c r="CI28" s="19">
        <f ca="1">SUM($G$25:CI25)</f>
        <v>64363103.737166449</v>
      </c>
      <c r="CJ28" s="19">
        <f ca="1">SUM($G$25:CJ25)</f>
        <v>64363103.737166449</v>
      </c>
      <c r="CK28" s="19">
        <f ca="1">SUM($G$25:CK25)</f>
        <v>64363103.737166449</v>
      </c>
      <c r="CL28" s="19">
        <f ca="1">SUM($G$25:CL25)</f>
        <v>64363103.737166449</v>
      </c>
      <c r="CM28" s="19">
        <f ca="1">SUM($G$25:CM25)</f>
        <v>64363103.737166449</v>
      </c>
      <c r="CN28" s="19">
        <f ca="1">SUM($G$25:CN25)</f>
        <v>64363103.737166449</v>
      </c>
      <c r="CO28" s="19">
        <f ca="1">SUM($G$25:CO25)</f>
        <v>64363103.737166449</v>
      </c>
      <c r="CP28" s="19">
        <f ca="1">SUM($G$25:CP25)</f>
        <v>64363103.737166449</v>
      </c>
      <c r="CQ28" s="19">
        <f ca="1">SUM($G$25:CQ25)</f>
        <v>64363103.737166449</v>
      </c>
      <c r="CR28" s="19">
        <f ca="1">SUM($G$25:CR25)</f>
        <v>64363103.737166449</v>
      </c>
    </row>
    <row r="29" spans="2:96" x14ac:dyDescent="0.3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</row>
    <row r="30" spans="2:96" s="33" customFormat="1" x14ac:dyDescent="0.3">
      <c r="B30" s="35" t="s">
        <v>63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</row>
    <row r="31" spans="2:96" x14ac:dyDescent="0.3">
      <c r="D31" s="11" t="s">
        <v>75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</row>
    <row r="32" spans="2:96" x14ac:dyDescent="0.3">
      <c r="D32" s="60">
        <v>25</v>
      </c>
      <c r="F32" s="11" t="s">
        <v>64</v>
      </c>
      <c r="G32" s="19">
        <f>IF(G7&lt;$D$32,0,G7-$D$32+1)</f>
        <v>0</v>
      </c>
      <c r="H32" s="19">
        <f t="shared" ref="H32:BS32" si="108">IF(H7&lt;$D$32,0,H7-$D$32+1)</f>
        <v>0</v>
      </c>
      <c r="I32" s="19">
        <f t="shared" si="108"/>
        <v>0</v>
      </c>
      <c r="J32" s="19">
        <f t="shared" si="108"/>
        <v>0</v>
      </c>
      <c r="K32" s="19">
        <f t="shared" si="108"/>
        <v>0</v>
      </c>
      <c r="L32" s="19">
        <f t="shared" si="108"/>
        <v>0</v>
      </c>
      <c r="M32" s="19">
        <f t="shared" si="108"/>
        <v>0</v>
      </c>
      <c r="N32" s="19">
        <f t="shared" si="108"/>
        <v>0</v>
      </c>
      <c r="O32" s="19">
        <f t="shared" si="108"/>
        <v>0</v>
      </c>
      <c r="P32" s="19">
        <f t="shared" si="108"/>
        <v>0</v>
      </c>
      <c r="Q32" s="19">
        <f t="shared" si="108"/>
        <v>0</v>
      </c>
      <c r="R32" s="19">
        <f t="shared" si="108"/>
        <v>0</v>
      </c>
      <c r="S32" s="19">
        <f t="shared" si="108"/>
        <v>0</v>
      </c>
      <c r="T32" s="19">
        <f t="shared" si="108"/>
        <v>0</v>
      </c>
      <c r="U32" s="19">
        <f t="shared" si="108"/>
        <v>0</v>
      </c>
      <c r="V32" s="19">
        <f t="shared" si="108"/>
        <v>0</v>
      </c>
      <c r="W32" s="19">
        <f t="shared" si="108"/>
        <v>0</v>
      </c>
      <c r="X32" s="19">
        <f t="shared" si="108"/>
        <v>0</v>
      </c>
      <c r="Y32" s="19">
        <f t="shared" si="108"/>
        <v>0</v>
      </c>
      <c r="Z32" s="19">
        <f t="shared" si="108"/>
        <v>0</v>
      </c>
      <c r="AA32" s="19">
        <f t="shared" si="108"/>
        <v>0</v>
      </c>
      <c r="AB32" s="19">
        <f t="shared" si="108"/>
        <v>0</v>
      </c>
      <c r="AC32" s="19">
        <f t="shared" si="108"/>
        <v>0</v>
      </c>
      <c r="AD32" s="19">
        <f t="shared" si="108"/>
        <v>0</v>
      </c>
      <c r="AE32" s="19">
        <f t="shared" si="108"/>
        <v>1</v>
      </c>
      <c r="AF32" s="19">
        <f t="shared" si="108"/>
        <v>2</v>
      </c>
      <c r="AG32" s="19">
        <f t="shared" si="108"/>
        <v>3</v>
      </c>
      <c r="AH32" s="19">
        <f t="shared" si="108"/>
        <v>4</v>
      </c>
      <c r="AI32" s="19">
        <f t="shared" si="108"/>
        <v>5</v>
      </c>
      <c r="AJ32" s="19">
        <f t="shared" si="108"/>
        <v>6</v>
      </c>
      <c r="AK32" s="19">
        <f t="shared" si="108"/>
        <v>7</v>
      </c>
      <c r="AL32" s="19">
        <f t="shared" si="108"/>
        <v>8</v>
      </c>
      <c r="AM32" s="19">
        <f t="shared" si="108"/>
        <v>9</v>
      </c>
      <c r="AN32" s="19">
        <f t="shared" si="108"/>
        <v>10</v>
      </c>
      <c r="AO32" s="19">
        <f t="shared" si="108"/>
        <v>11</v>
      </c>
      <c r="AP32" s="19">
        <f t="shared" si="108"/>
        <v>12</v>
      </c>
      <c r="AQ32" s="19">
        <f t="shared" si="108"/>
        <v>13</v>
      </c>
      <c r="AR32" s="19">
        <f t="shared" si="108"/>
        <v>14</v>
      </c>
      <c r="AS32" s="19">
        <f t="shared" si="108"/>
        <v>15</v>
      </c>
      <c r="AT32" s="19">
        <f t="shared" si="108"/>
        <v>16</v>
      </c>
      <c r="AU32" s="19">
        <f t="shared" si="108"/>
        <v>17</v>
      </c>
      <c r="AV32" s="19">
        <f t="shared" si="108"/>
        <v>18</v>
      </c>
      <c r="AW32" s="19">
        <f t="shared" si="108"/>
        <v>19</v>
      </c>
      <c r="AX32" s="19">
        <f t="shared" si="108"/>
        <v>20</v>
      </c>
      <c r="AY32" s="19">
        <f t="shared" si="108"/>
        <v>21</v>
      </c>
      <c r="AZ32" s="19">
        <f t="shared" si="108"/>
        <v>22</v>
      </c>
      <c r="BA32" s="19">
        <f t="shared" si="108"/>
        <v>23</v>
      </c>
      <c r="BB32" s="19">
        <f t="shared" si="108"/>
        <v>24</v>
      </c>
      <c r="BC32" s="19">
        <f t="shared" si="108"/>
        <v>25</v>
      </c>
      <c r="BD32" s="19">
        <f t="shared" si="108"/>
        <v>26</v>
      </c>
      <c r="BE32" s="19">
        <f t="shared" si="108"/>
        <v>27</v>
      </c>
      <c r="BF32" s="19">
        <f t="shared" si="108"/>
        <v>28</v>
      </c>
      <c r="BG32" s="19">
        <f t="shared" si="108"/>
        <v>29</v>
      </c>
      <c r="BH32" s="19">
        <f t="shared" si="108"/>
        <v>30</v>
      </c>
      <c r="BI32" s="19">
        <f t="shared" si="108"/>
        <v>31</v>
      </c>
      <c r="BJ32" s="19">
        <f t="shared" si="108"/>
        <v>32</v>
      </c>
      <c r="BK32" s="19">
        <f t="shared" si="108"/>
        <v>33</v>
      </c>
      <c r="BL32" s="19">
        <f t="shared" si="108"/>
        <v>34</v>
      </c>
      <c r="BM32" s="19">
        <f t="shared" si="108"/>
        <v>35</v>
      </c>
      <c r="BN32" s="19">
        <f t="shared" si="108"/>
        <v>36</v>
      </c>
      <c r="BO32" s="19">
        <f t="shared" si="108"/>
        <v>37</v>
      </c>
      <c r="BP32" s="19">
        <f t="shared" si="108"/>
        <v>38</v>
      </c>
      <c r="BQ32" s="19">
        <f t="shared" si="108"/>
        <v>39</v>
      </c>
      <c r="BR32" s="19">
        <f t="shared" si="108"/>
        <v>40</v>
      </c>
      <c r="BS32" s="19">
        <f t="shared" si="108"/>
        <v>41</v>
      </c>
      <c r="BT32" s="19">
        <f t="shared" ref="BT32:CR32" si="109">IF(BT7&lt;$D$32,0,BT7-$D$32+1)</f>
        <v>42</v>
      </c>
      <c r="BU32" s="19">
        <f t="shared" si="109"/>
        <v>43</v>
      </c>
      <c r="BV32" s="19">
        <f t="shared" si="109"/>
        <v>44</v>
      </c>
      <c r="BW32" s="19">
        <f t="shared" si="109"/>
        <v>45</v>
      </c>
      <c r="BX32" s="19">
        <f t="shared" si="109"/>
        <v>46</v>
      </c>
      <c r="BY32" s="19">
        <f t="shared" si="109"/>
        <v>47</v>
      </c>
      <c r="BZ32" s="19">
        <f t="shared" si="109"/>
        <v>48</v>
      </c>
      <c r="CA32" s="19">
        <f t="shared" si="109"/>
        <v>49</v>
      </c>
      <c r="CB32" s="19">
        <f t="shared" si="109"/>
        <v>50</v>
      </c>
      <c r="CC32" s="19">
        <f t="shared" si="109"/>
        <v>51</v>
      </c>
      <c r="CD32" s="19">
        <f t="shared" si="109"/>
        <v>52</v>
      </c>
      <c r="CE32" s="19">
        <f t="shared" si="109"/>
        <v>53</v>
      </c>
      <c r="CF32" s="19">
        <f t="shared" si="109"/>
        <v>54</v>
      </c>
      <c r="CG32" s="19">
        <f t="shared" si="109"/>
        <v>55</v>
      </c>
      <c r="CH32" s="19">
        <f t="shared" si="109"/>
        <v>56</v>
      </c>
      <c r="CI32" s="19">
        <f t="shared" si="109"/>
        <v>57</v>
      </c>
      <c r="CJ32" s="19">
        <f t="shared" si="109"/>
        <v>58</v>
      </c>
      <c r="CK32" s="19">
        <f t="shared" si="109"/>
        <v>59</v>
      </c>
      <c r="CL32" s="19">
        <f t="shared" si="109"/>
        <v>60</v>
      </c>
      <c r="CM32" s="19">
        <f t="shared" si="109"/>
        <v>61</v>
      </c>
      <c r="CN32" s="19">
        <f t="shared" si="109"/>
        <v>62</v>
      </c>
      <c r="CO32" s="19">
        <f t="shared" si="109"/>
        <v>63</v>
      </c>
      <c r="CP32" s="19">
        <f t="shared" si="109"/>
        <v>64</v>
      </c>
      <c r="CQ32" s="19">
        <f t="shared" si="109"/>
        <v>65</v>
      </c>
      <c r="CR32" s="19">
        <f t="shared" si="109"/>
        <v>66</v>
      </c>
    </row>
    <row r="33" spans="2:96" x14ac:dyDescent="0.3">
      <c r="F33" s="11" t="s">
        <v>65</v>
      </c>
      <c r="G33" s="31">
        <f>ROUNDUP(G32/12,0)</f>
        <v>0</v>
      </c>
      <c r="H33" s="19">
        <f t="shared" ref="H33:BS33" si="110">ROUNDUP(H32/12,0)</f>
        <v>0</v>
      </c>
      <c r="I33" s="19">
        <f t="shared" si="110"/>
        <v>0</v>
      </c>
      <c r="J33" s="19">
        <f t="shared" si="110"/>
        <v>0</v>
      </c>
      <c r="K33" s="19">
        <f t="shared" si="110"/>
        <v>0</v>
      </c>
      <c r="L33" s="19">
        <f t="shared" si="110"/>
        <v>0</v>
      </c>
      <c r="M33" s="19">
        <f t="shared" si="110"/>
        <v>0</v>
      </c>
      <c r="N33" s="19">
        <f t="shared" si="110"/>
        <v>0</v>
      </c>
      <c r="O33" s="19">
        <f t="shared" si="110"/>
        <v>0</v>
      </c>
      <c r="P33" s="19">
        <f t="shared" si="110"/>
        <v>0</v>
      </c>
      <c r="Q33" s="19">
        <f t="shared" si="110"/>
        <v>0</v>
      </c>
      <c r="R33" s="19">
        <f t="shared" si="110"/>
        <v>0</v>
      </c>
      <c r="S33" s="19">
        <f t="shared" si="110"/>
        <v>0</v>
      </c>
      <c r="T33" s="19">
        <f t="shared" si="110"/>
        <v>0</v>
      </c>
      <c r="U33" s="19">
        <f t="shared" si="110"/>
        <v>0</v>
      </c>
      <c r="V33" s="19">
        <f t="shared" si="110"/>
        <v>0</v>
      </c>
      <c r="W33" s="19">
        <f t="shared" si="110"/>
        <v>0</v>
      </c>
      <c r="X33" s="19">
        <f t="shared" si="110"/>
        <v>0</v>
      </c>
      <c r="Y33" s="19">
        <f t="shared" si="110"/>
        <v>0</v>
      </c>
      <c r="Z33" s="19">
        <f t="shared" si="110"/>
        <v>0</v>
      </c>
      <c r="AA33" s="19">
        <f t="shared" si="110"/>
        <v>0</v>
      </c>
      <c r="AB33" s="19">
        <f t="shared" si="110"/>
        <v>0</v>
      </c>
      <c r="AC33" s="19">
        <f t="shared" si="110"/>
        <v>0</v>
      </c>
      <c r="AD33" s="19">
        <f t="shared" si="110"/>
        <v>0</v>
      </c>
      <c r="AE33" s="19">
        <f t="shared" si="110"/>
        <v>1</v>
      </c>
      <c r="AF33" s="19">
        <f t="shared" si="110"/>
        <v>1</v>
      </c>
      <c r="AG33" s="19">
        <f t="shared" si="110"/>
        <v>1</v>
      </c>
      <c r="AH33" s="19">
        <f t="shared" si="110"/>
        <v>1</v>
      </c>
      <c r="AI33" s="19">
        <f t="shared" si="110"/>
        <v>1</v>
      </c>
      <c r="AJ33" s="19">
        <f t="shared" si="110"/>
        <v>1</v>
      </c>
      <c r="AK33" s="19">
        <f t="shared" si="110"/>
        <v>1</v>
      </c>
      <c r="AL33" s="19">
        <f t="shared" si="110"/>
        <v>1</v>
      </c>
      <c r="AM33" s="19">
        <f t="shared" si="110"/>
        <v>1</v>
      </c>
      <c r="AN33" s="19">
        <f t="shared" si="110"/>
        <v>1</v>
      </c>
      <c r="AO33" s="19">
        <f t="shared" si="110"/>
        <v>1</v>
      </c>
      <c r="AP33" s="19">
        <f t="shared" si="110"/>
        <v>1</v>
      </c>
      <c r="AQ33" s="19">
        <f t="shared" si="110"/>
        <v>2</v>
      </c>
      <c r="AR33" s="19">
        <f t="shared" si="110"/>
        <v>2</v>
      </c>
      <c r="AS33" s="19">
        <f t="shared" si="110"/>
        <v>2</v>
      </c>
      <c r="AT33" s="19">
        <f t="shared" si="110"/>
        <v>2</v>
      </c>
      <c r="AU33" s="19">
        <f t="shared" si="110"/>
        <v>2</v>
      </c>
      <c r="AV33" s="19">
        <f t="shared" si="110"/>
        <v>2</v>
      </c>
      <c r="AW33" s="19">
        <f t="shared" si="110"/>
        <v>2</v>
      </c>
      <c r="AX33" s="19">
        <f t="shared" si="110"/>
        <v>2</v>
      </c>
      <c r="AY33" s="19">
        <f t="shared" si="110"/>
        <v>2</v>
      </c>
      <c r="AZ33" s="19">
        <f t="shared" si="110"/>
        <v>2</v>
      </c>
      <c r="BA33" s="19">
        <f t="shared" si="110"/>
        <v>2</v>
      </c>
      <c r="BB33" s="19">
        <f t="shared" si="110"/>
        <v>2</v>
      </c>
      <c r="BC33" s="19">
        <f t="shared" si="110"/>
        <v>3</v>
      </c>
      <c r="BD33" s="19">
        <f t="shared" si="110"/>
        <v>3</v>
      </c>
      <c r="BE33" s="19">
        <f t="shared" si="110"/>
        <v>3</v>
      </c>
      <c r="BF33" s="19">
        <f t="shared" si="110"/>
        <v>3</v>
      </c>
      <c r="BG33" s="19">
        <f t="shared" si="110"/>
        <v>3</v>
      </c>
      <c r="BH33" s="19">
        <f t="shared" si="110"/>
        <v>3</v>
      </c>
      <c r="BI33" s="19">
        <f t="shared" si="110"/>
        <v>3</v>
      </c>
      <c r="BJ33" s="19">
        <f t="shared" si="110"/>
        <v>3</v>
      </c>
      <c r="BK33" s="19">
        <f t="shared" si="110"/>
        <v>3</v>
      </c>
      <c r="BL33" s="19">
        <f t="shared" si="110"/>
        <v>3</v>
      </c>
      <c r="BM33" s="19">
        <f t="shared" si="110"/>
        <v>3</v>
      </c>
      <c r="BN33" s="19">
        <f t="shared" si="110"/>
        <v>3</v>
      </c>
      <c r="BO33" s="19">
        <f t="shared" si="110"/>
        <v>4</v>
      </c>
      <c r="BP33" s="19">
        <f t="shared" si="110"/>
        <v>4</v>
      </c>
      <c r="BQ33" s="19">
        <f t="shared" si="110"/>
        <v>4</v>
      </c>
      <c r="BR33" s="19">
        <f t="shared" si="110"/>
        <v>4</v>
      </c>
      <c r="BS33" s="19">
        <f t="shared" si="110"/>
        <v>4</v>
      </c>
      <c r="BT33" s="19">
        <f t="shared" ref="BT33:CR33" si="111">ROUNDUP(BT32/12,0)</f>
        <v>4</v>
      </c>
      <c r="BU33" s="19">
        <f t="shared" si="111"/>
        <v>4</v>
      </c>
      <c r="BV33" s="19">
        <f t="shared" si="111"/>
        <v>4</v>
      </c>
      <c r="BW33" s="19">
        <f t="shared" si="111"/>
        <v>4</v>
      </c>
      <c r="BX33" s="19">
        <f t="shared" si="111"/>
        <v>4</v>
      </c>
      <c r="BY33" s="19">
        <f t="shared" si="111"/>
        <v>4</v>
      </c>
      <c r="BZ33" s="19">
        <f t="shared" si="111"/>
        <v>4</v>
      </c>
      <c r="CA33" s="19">
        <f t="shared" si="111"/>
        <v>5</v>
      </c>
      <c r="CB33" s="19">
        <f t="shared" si="111"/>
        <v>5</v>
      </c>
      <c r="CC33" s="19">
        <f t="shared" si="111"/>
        <v>5</v>
      </c>
      <c r="CD33" s="19">
        <f t="shared" si="111"/>
        <v>5</v>
      </c>
      <c r="CE33" s="19">
        <f t="shared" si="111"/>
        <v>5</v>
      </c>
      <c r="CF33" s="19">
        <f t="shared" si="111"/>
        <v>5</v>
      </c>
      <c r="CG33" s="19">
        <f t="shared" si="111"/>
        <v>5</v>
      </c>
      <c r="CH33" s="19">
        <f t="shared" si="111"/>
        <v>5</v>
      </c>
      <c r="CI33" s="19">
        <f t="shared" si="111"/>
        <v>5</v>
      </c>
      <c r="CJ33" s="19">
        <f t="shared" si="111"/>
        <v>5</v>
      </c>
      <c r="CK33" s="19">
        <f t="shared" si="111"/>
        <v>5</v>
      </c>
      <c r="CL33" s="19">
        <f t="shared" si="111"/>
        <v>5</v>
      </c>
      <c r="CM33" s="19">
        <f t="shared" si="111"/>
        <v>6</v>
      </c>
      <c r="CN33" s="19">
        <f t="shared" si="111"/>
        <v>6</v>
      </c>
      <c r="CO33" s="19">
        <f t="shared" si="111"/>
        <v>6</v>
      </c>
      <c r="CP33" s="19">
        <f t="shared" si="111"/>
        <v>6</v>
      </c>
      <c r="CQ33" s="19">
        <f t="shared" si="111"/>
        <v>6</v>
      </c>
      <c r="CR33" s="19">
        <f t="shared" si="111"/>
        <v>6</v>
      </c>
    </row>
    <row r="34" spans="2:96" x14ac:dyDescent="0.3">
      <c r="F34" s="11" t="s">
        <v>66</v>
      </c>
      <c r="G34" s="31">
        <f>MAX(ROUNDUP((G$7-$C38+1)/12,0),0)</f>
        <v>0</v>
      </c>
      <c r="H34" s="19">
        <f t="shared" ref="H34:BS34" si="112">MAX(ROUNDUP((H$7-$C38+1)/12,0),0)</f>
        <v>0</v>
      </c>
      <c r="I34" s="19">
        <f t="shared" si="112"/>
        <v>0</v>
      </c>
      <c r="J34" s="19">
        <f t="shared" si="112"/>
        <v>0</v>
      </c>
      <c r="K34" s="19">
        <f t="shared" si="112"/>
        <v>0</v>
      </c>
      <c r="L34" s="19">
        <f t="shared" si="112"/>
        <v>0</v>
      </c>
      <c r="M34" s="19">
        <f t="shared" si="112"/>
        <v>0</v>
      </c>
      <c r="N34" s="19">
        <f t="shared" si="112"/>
        <v>0</v>
      </c>
      <c r="O34" s="19">
        <f t="shared" si="112"/>
        <v>0</v>
      </c>
      <c r="P34" s="19">
        <f t="shared" si="112"/>
        <v>0</v>
      </c>
      <c r="Q34" s="19">
        <f t="shared" si="112"/>
        <v>0</v>
      </c>
      <c r="R34" s="19">
        <f t="shared" si="112"/>
        <v>0</v>
      </c>
      <c r="S34" s="19">
        <f t="shared" si="112"/>
        <v>0</v>
      </c>
      <c r="T34" s="19">
        <f t="shared" si="112"/>
        <v>0</v>
      </c>
      <c r="U34" s="19">
        <f t="shared" si="112"/>
        <v>0</v>
      </c>
      <c r="V34" s="19">
        <f t="shared" si="112"/>
        <v>0</v>
      </c>
      <c r="W34" s="19">
        <f t="shared" si="112"/>
        <v>0</v>
      </c>
      <c r="X34" s="19">
        <f t="shared" si="112"/>
        <v>0</v>
      </c>
      <c r="Y34" s="19">
        <f t="shared" si="112"/>
        <v>0</v>
      </c>
      <c r="Z34" s="19">
        <f t="shared" si="112"/>
        <v>0</v>
      </c>
      <c r="AA34" s="19">
        <f t="shared" si="112"/>
        <v>0</v>
      </c>
      <c r="AB34" s="19">
        <f t="shared" si="112"/>
        <v>0</v>
      </c>
      <c r="AC34" s="19">
        <f t="shared" si="112"/>
        <v>0</v>
      </c>
      <c r="AD34" s="19">
        <f t="shared" si="112"/>
        <v>0</v>
      </c>
      <c r="AE34" s="19">
        <f t="shared" si="112"/>
        <v>1</v>
      </c>
      <c r="AF34" s="19">
        <f t="shared" si="112"/>
        <v>1</v>
      </c>
      <c r="AG34" s="19">
        <f t="shared" si="112"/>
        <v>1</v>
      </c>
      <c r="AH34" s="19">
        <f t="shared" si="112"/>
        <v>1</v>
      </c>
      <c r="AI34" s="19">
        <f t="shared" si="112"/>
        <v>1</v>
      </c>
      <c r="AJ34" s="19">
        <f t="shared" si="112"/>
        <v>1</v>
      </c>
      <c r="AK34" s="19">
        <f t="shared" si="112"/>
        <v>1</v>
      </c>
      <c r="AL34" s="19">
        <f t="shared" si="112"/>
        <v>1</v>
      </c>
      <c r="AM34" s="19">
        <f t="shared" si="112"/>
        <v>1</v>
      </c>
      <c r="AN34" s="19">
        <f t="shared" si="112"/>
        <v>1</v>
      </c>
      <c r="AO34" s="19">
        <f t="shared" si="112"/>
        <v>1</v>
      </c>
      <c r="AP34" s="19">
        <f t="shared" si="112"/>
        <v>1</v>
      </c>
      <c r="AQ34" s="19">
        <f t="shared" si="112"/>
        <v>2</v>
      </c>
      <c r="AR34" s="19">
        <f t="shared" si="112"/>
        <v>2</v>
      </c>
      <c r="AS34" s="19">
        <f t="shared" si="112"/>
        <v>2</v>
      </c>
      <c r="AT34" s="19">
        <f t="shared" si="112"/>
        <v>2</v>
      </c>
      <c r="AU34" s="19">
        <f t="shared" si="112"/>
        <v>2</v>
      </c>
      <c r="AV34" s="19">
        <f t="shared" si="112"/>
        <v>2</v>
      </c>
      <c r="AW34" s="19">
        <f t="shared" si="112"/>
        <v>2</v>
      </c>
      <c r="AX34" s="19">
        <f t="shared" si="112"/>
        <v>2</v>
      </c>
      <c r="AY34" s="19">
        <f t="shared" si="112"/>
        <v>2</v>
      </c>
      <c r="AZ34" s="19">
        <f t="shared" si="112"/>
        <v>2</v>
      </c>
      <c r="BA34" s="19">
        <f t="shared" si="112"/>
        <v>2</v>
      </c>
      <c r="BB34" s="19">
        <f t="shared" si="112"/>
        <v>2</v>
      </c>
      <c r="BC34" s="19">
        <f t="shared" si="112"/>
        <v>3</v>
      </c>
      <c r="BD34" s="19">
        <f t="shared" si="112"/>
        <v>3</v>
      </c>
      <c r="BE34" s="19">
        <f t="shared" si="112"/>
        <v>3</v>
      </c>
      <c r="BF34" s="19">
        <f t="shared" si="112"/>
        <v>3</v>
      </c>
      <c r="BG34" s="19">
        <f t="shared" si="112"/>
        <v>3</v>
      </c>
      <c r="BH34" s="19">
        <f t="shared" si="112"/>
        <v>3</v>
      </c>
      <c r="BI34" s="19">
        <f t="shared" si="112"/>
        <v>3</v>
      </c>
      <c r="BJ34" s="19">
        <f t="shared" si="112"/>
        <v>3</v>
      </c>
      <c r="BK34" s="19">
        <f t="shared" si="112"/>
        <v>3</v>
      </c>
      <c r="BL34" s="19">
        <f t="shared" si="112"/>
        <v>3</v>
      </c>
      <c r="BM34" s="19">
        <f t="shared" si="112"/>
        <v>3</v>
      </c>
      <c r="BN34" s="19">
        <f t="shared" si="112"/>
        <v>3</v>
      </c>
      <c r="BO34" s="19">
        <f t="shared" si="112"/>
        <v>4</v>
      </c>
      <c r="BP34" s="19">
        <f t="shared" si="112"/>
        <v>4</v>
      </c>
      <c r="BQ34" s="19">
        <f t="shared" si="112"/>
        <v>4</v>
      </c>
      <c r="BR34" s="19">
        <f t="shared" si="112"/>
        <v>4</v>
      </c>
      <c r="BS34" s="19">
        <f t="shared" si="112"/>
        <v>4</v>
      </c>
      <c r="BT34" s="19">
        <f t="shared" ref="BT34:CR34" si="113">MAX(ROUNDUP((BT$7-$C38+1)/12,0),0)</f>
        <v>4</v>
      </c>
      <c r="BU34" s="19">
        <f t="shared" si="113"/>
        <v>4</v>
      </c>
      <c r="BV34" s="19">
        <f t="shared" si="113"/>
        <v>4</v>
      </c>
      <c r="BW34" s="19">
        <f t="shared" si="113"/>
        <v>4</v>
      </c>
      <c r="BX34" s="19">
        <f t="shared" si="113"/>
        <v>4</v>
      </c>
      <c r="BY34" s="19">
        <f t="shared" si="113"/>
        <v>4</v>
      </c>
      <c r="BZ34" s="19">
        <f t="shared" si="113"/>
        <v>4</v>
      </c>
      <c r="CA34" s="19">
        <f t="shared" si="113"/>
        <v>5</v>
      </c>
      <c r="CB34" s="19">
        <f t="shared" si="113"/>
        <v>5</v>
      </c>
      <c r="CC34" s="19">
        <f t="shared" si="113"/>
        <v>5</v>
      </c>
      <c r="CD34" s="19">
        <f t="shared" si="113"/>
        <v>5</v>
      </c>
      <c r="CE34" s="19">
        <f t="shared" si="113"/>
        <v>5</v>
      </c>
      <c r="CF34" s="19">
        <f t="shared" si="113"/>
        <v>5</v>
      </c>
      <c r="CG34" s="19">
        <f t="shared" si="113"/>
        <v>5</v>
      </c>
      <c r="CH34" s="19">
        <f t="shared" si="113"/>
        <v>5</v>
      </c>
      <c r="CI34" s="19">
        <f t="shared" si="113"/>
        <v>5</v>
      </c>
      <c r="CJ34" s="19">
        <f t="shared" si="113"/>
        <v>5</v>
      </c>
      <c r="CK34" s="19">
        <f t="shared" si="113"/>
        <v>5</v>
      </c>
      <c r="CL34" s="19">
        <f t="shared" si="113"/>
        <v>5</v>
      </c>
      <c r="CM34" s="19">
        <f t="shared" si="113"/>
        <v>6</v>
      </c>
      <c r="CN34" s="19">
        <f t="shared" si="113"/>
        <v>6</v>
      </c>
      <c r="CO34" s="19">
        <f t="shared" si="113"/>
        <v>6</v>
      </c>
      <c r="CP34" s="19">
        <f t="shared" si="113"/>
        <v>6</v>
      </c>
      <c r="CQ34" s="19">
        <f t="shared" si="113"/>
        <v>6</v>
      </c>
      <c r="CR34" s="19">
        <f t="shared" si="113"/>
        <v>6</v>
      </c>
    </row>
    <row r="35" spans="2:96" x14ac:dyDescent="0.3">
      <c r="F35" s="11" t="s">
        <v>67</v>
      </c>
      <c r="G35" s="31">
        <f>MAX(ROUNDUP((G$7-$C39+1)/12,0),0)</f>
        <v>0</v>
      </c>
      <c r="H35" s="19">
        <f t="shared" ref="H35:BS35" si="114">MAX(ROUNDUP((H$7-$C39+1)/12,0),0)</f>
        <v>0</v>
      </c>
      <c r="I35" s="19">
        <f t="shared" si="114"/>
        <v>0</v>
      </c>
      <c r="J35" s="19">
        <f t="shared" si="114"/>
        <v>0</v>
      </c>
      <c r="K35" s="19">
        <f t="shared" si="114"/>
        <v>0</v>
      </c>
      <c r="L35" s="19">
        <f t="shared" si="114"/>
        <v>0</v>
      </c>
      <c r="M35" s="19">
        <f t="shared" si="114"/>
        <v>0</v>
      </c>
      <c r="N35" s="19">
        <f t="shared" si="114"/>
        <v>0</v>
      </c>
      <c r="O35" s="19">
        <f t="shared" si="114"/>
        <v>0</v>
      </c>
      <c r="P35" s="19">
        <f t="shared" si="114"/>
        <v>0</v>
      </c>
      <c r="Q35" s="19">
        <f t="shared" si="114"/>
        <v>0</v>
      </c>
      <c r="R35" s="19">
        <f t="shared" si="114"/>
        <v>0</v>
      </c>
      <c r="S35" s="19">
        <f t="shared" si="114"/>
        <v>0</v>
      </c>
      <c r="T35" s="19">
        <f t="shared" si="114"/>
        <v>0</v>
      </c>
      <c r="U35" s="19">
        <f t="shared" si="114"/>
        <v>0</v>
      </c>
      <c r="V35" s="19">
        <f t="shared" si="114"/>
        <v>0</v>
      </c>
      <c r="W35" s="19">
        <f t="shared" si="114"/>
        <v>0</v>
      </c>
      <c r="X35" s="19">
        <f t="shared" si="114"/>
        <v>0</v>
      </c>
      <c r="Y35" s="19">
        <f t="shared" si="114"/>
        <v>0</v>
      </c>
      <c r="Z35" s="19">
        <f t="shared" si="114"/>
        <v>0</v>
      </c>
      <c r="AA35" s="19">
        <f t="shared" si="114"/>
        <v>0</v>
      </c>
      <c r="AB35" s="19">
        <f t="shared" si="114"/>
        <v>0</v>
      </c>
      <c r="AC35" s="19">
        <f t="shared" si="114"/>
        <v>0</v>
      </c>
      <c r="AD35" s="19">
        <f t="shared" si="114"/>
        <v>0</v>
      </c>
      <c r="AE35" s="19">
        <f t="shared" si="114"/>
        <v>0</v>
      </c>
      <c r="AF35" s="19">
        <f t="shared" si="114"/>
        <v>0</v>
      </c>
      <c r="AG35" s="19">
        <f t="shared" si="114"/>
        <v>0</v>
      </c>
      <c r="AH35" s="19">
        <f t="shared" si="114"/>
        <v>0</v>
      </c>
      <c r="AI35" s="19">
        <f t="shared" si="114"/>
        <v>0</v>
      </c>
      <c r="AJ35" s="19">
        <f t="shared" si="114"/>
        <v>1</v>
      </c>
      <c r="AK35" s="19">
        <f t="shared" si="114"/>
        <v>1</v>
      </c>
      <c r="AL35" s="19">
        <f t="shared" si="114"/>
        <v>1</v>
      </c>
      <c r="AM35" s="19">
        <f t="shared" si="114"/>
        <v>1</v>
      </c>
      <c r="AN35" s="19">
        <f t="shared" si="114"/>
        <v>1</v>
      </c>
      <c r="AO35" s="19">
        <f t="shared" si="114"/>
        <v>1</v>
      </c>
      <c r="AP35" s="19">
        <f t="shared" si="114"/>
        <v>1</v>
      </c>
      <c r="AQ35" s="19">
        <f t="shared" si="114"/>
        <v>1</v>
      </c>
      <c r="AR35" s="19">
        <f t="shared" si="114"/>
        <v>1</v>
      </c>
      <c r="AS35" s="19">
        <f t="shared" si="114"/>
        <v>1</v>
      </c>
      <c r="AT35" s="19">
        <f t="shared" si="114"/>
        <v>1</v>
      </c>
      <c r="AU35" s="19">
        <f t="shared" si="114"/>
        <v>1</v>
      </c>
      <c r="AV35" s="19">
        <f t="shared" si="114"/>
        <v>2</v>
      </c>
      <c r="AW35" s="19">
        <f t="shared" si="114"/>
        <v>2</v>
      </c>
      <c r="AX35" s="19">
        <f t="shared" si="114"/>
        <v>2</v>
      </c>
      <c r="AY35" s="19">
        <f t="shared" si="114"/>
        <v>2</v>
      </c>
      <c r="AZ35" s="19">
        <f t="shared" si="114"/>
        <v>2</v>
      </c>
      <c r="BA35" s="19">
        <f t="shared" si="114"/>
        <v>2</v>
      </c>
      <c r="BB35" s="19">
        <f t="shared" si="114"/>
        <v>2</v>
      </c>
      <c r="BC35" s="19">
        <f t="shared" si="114"/>
        <v>2</v>
      </c>
      <c r="BD35" s="19">
        <f t="shared" si="114"/>
        <v>2</v>
      </c>
      <c r="BE35" s="19">
        <f t="shared" si="114"/>
        <v>2</v>
      </c>
      <c r="BF35" s="19">
        <f t="shared" si="114"/>
        <v>2</v>
      </c>
      <c r="BG35" s="19">
        <f t="shared" si="114"/>
        <v>2</v>
      </c>
      <c r="BH35" s="19">
        <f t="shared" si="114"/>
        <v>3</v>
      </c>
      <c r="BI35" s="19">
        <f t="shared" si="114"/>
        <v>3</v>
      </c>
      <c r="BJ35" s="19">
        <f t="shared" si="114"/>
        <v>3</v>
      </c>
      <c r="BK35" s="19">
        <f t="shared" si="114"/>
        <v>3</v>
      </c>
      <c r="BL35" s="19">
        <f t="shared" si="114"/>
        <v>3</v>
      </c>
      <c r="BM35" s="19">
        <f t="shared" si="114"/>
        <v>3</v>
      </c>
      <c r="BN35" s="19">
        <f t="shared" si="114"/>
        <v>3</v>
      </c>
      <c r="BO35" s="19">
        <f t="shared" si="114"/>
        <v>3</v>
      </c>
      <c r="BP35" s="19">
        <f t="shared" si="114"/>
        <v>3</v>
      </c>
      <c r="BQ35" s="19">
        <f t="shared" si="114"/>
        <v>3</v>
      </c>
      <c r="BR35" s="19">
        <f t="shared" si="114"/>
        <v>3</v>
      </c>
      <c r="BS35" s="19">
        <f t="shared" si="114"/>
        <v>3</v>
      </c>
      <c r="BT35" s="19">
        <f t="shared" ref="BT35:CR35" si="115">MAX(ROUNDUP((BT$7-$C39+1)/12,0),0)</f>
        <v>4</v>
      </c>
      <c r="BU35" s="19">
        <f t="shared" si="115"/>
        <v>4</v>
      </c>
      <c r="BV35" s="19">
        <f t="shared" si="115"/>
        <v>4</v>
      </c>
      <c r="BW35" s="19">
        <f t="shared" si="115"/>
        <v>4</v>
      </c>
      <c r="BX35" s="19">
        <f t="shared" si="115"/>
        <v>4</v>
      </c>
      <c r="BY35" s="19">
        <f t="shared" si="115"/>
        <v>4</v>
      </c>
      <c r="BZ35" s="19">
        <f t="shared" si="115"/>
        <v>4</v>
      </c>
      <c r="CA35" s="19">
        <f t="shared" si="115"/>
        <v>4</v>
      </c>
      <c r="CB35" s="19">
        <f t="shared" si="115"/>
        <v>4</v>
      </c>
      <c r="CC35" s="19">
        <f t="shared" si="115"/>
        <v>4</v>
      </c>
      <c r="CD35" s="19">
        <f t="shared" si="115"/>
        <v>4</v>
      </c>
      <c r="CE35" s="19">
        <f t="shared" si="115"/>
        <v>4</v>
      </c>
      <c r="CF35" s="19">
        <f t="shared" si="115"/>
        <v>5</v>
      </c>
      <c r="CG35" s="19">
        <f t="shared" si="115"/>
        <v>5</v>
      </c>
      <c r="CH35" s="19">
        <f t="shared" si="115"/>
        <v>5</v>
      </c>
      <c r="CI35" s="19">
        <f t="shared" si="115"/>
        <v>5</v>
      </c>
      <c r="CJ35" s="19">
        <f t="shared" si="115"/>
        <v>5</v>
      </c>
      <c r="CK35" s="19">
        <f t="shared" si="115"/>
        <v>5</v>
      </c>
      <c r="CL35" s="19">
        <f t="shared" si="115"/>
        <v>5</v>
      </c>
      <c r="CM35" s="19">
        <f t="shared" si="115"/>
        <v>5</v>
      </c>
      <c r="CN35" s="19">
        <f t="shared" si="115"/>
        <v>5</v>
      </c>
      <c r="CO35" s="19">
        <f t="shared" si="115"/>
        <v>5</v>
      </c>
      <c r="CP35" s="19">
        <f t="shared" si="115"/>
        <v>5</v>
      </c>
      <c r="CQ35" s="19">
        <f t="shared" si="115"/>
        <v>5</v>
      </c>
      <c r="CR35" s="19">
        <f t="shared" si="115"/>
        <v>6</v>
      </c>
    </row>
    <row r="36" spans="2:96" x14ac:dyDescent="0.3">
      <c r="F36" s="11" t="s">
        <v>68</v>
      </c>
      <c r="G36" s="32">
        <f>(G38&gt;0)*0.5+(G39&gt;0)*0.5</f>
        <v>0</v>
      </c>
      <c r="H36" s="20">
        <f t="shared" ref="H36:BS36" si="116">(H38&gt;0)*0.5+(H39&gt;0)*0.5</f>
        <v>0</v>
      </c>
      <c r="I36" s="20">
        <f t="shared" si="116"/>
        <v>0</v>
      </c>
      <c r="J36" s="20">
        <f t="shared" si="116"/>
        <v>0</v>
      </c>
      <c r="K36" s="20">
        <f t="shared" si="116"/>
        <v>0</v>
      </c>
      <c r="L36" s="20">
        <f t="shared" si="116"/>
        <v>0</v>
      </c>
      <c r="M36" s="20">
        <f t="shared" si="116"/>
        <v>0</v>
      </c>
      <c r="N36" s="20">
        <f t="shared" si="116"/>
        <v>0</v>
      </c>
      <c r="O36" s="20">
        <f t="shared" si="116"/>
        <v>0</v>
      </c>
      <c r="P36" s="20">
        <f t="shared" si="116"/>
        <v>0</v>
      </c>
      <c r="Q36" s="20">
        <f t="shared" si="116"/>
        <v>0</v>
      </c>
      <c r="R36" s="20">
        <f t="shared" si="116"/>
        <v>0</v>
      </c>
      <c r="S36" s="20">
        <f t="shared" si="116"/>
        <v>0</v>
      </c>
      <c r="T36" s="20">
        <f t="shared" si="116"/>
        <v>0</v>
      </c>
      <c r="U36" s="20">
        <f t="shared" si="116"/>
        <v>0</v>
      </c>
      <c r="V36" s="20">
        <f t="shared" si="116"/>
        <v>0</v>
      </c>
      <c r="W36" s="20">
        <f t="shared" si="116"/>
        <v>0</v>
      </c>
      <c r="X36" s="20">
        <f t="shared" si="116"/>
        <v>0</v>
      </c>
      <c r="Y36" s="20">
        <f t="shared" si="116"/>
        <v>0</v>
      </c>
      <c r="Z36" s="20">
        <f t="shared" si="116"/>
        <v>0</v>
      </c>
      <c r="AA36" s="20">
        <f t="shared" si="116"/>
        <v>0</v>
      </c>
      <c r="AB36" s="20">
        <f t="shared" si="116"/>
        <v>0</v>
      </c>
      <c r="AC36" s="20">
        <f t="shared" si="116"/>
        <v>0</v>
      </c>
      <c r="AD36" s="20">
        <f t="shared" si="116"/>
        <v>0</v>
      </c>
      <c r="AE36" s="20">
        <f t="shared" si="116"/>
        <v>0.5</v>
      </c>
      <c r="AF36" s="20">
        <f t="shared" si="116"/>
        <v>0.5</v>
      </c>
      <c r="AG36" s="20">
        <f t="shared" si="116"/>
        <v>0.5</v>
      </c>
      <c r="AH36" s="20">
        <f t="shared" si="116"/>
        <v>0.5</v>
      </c>
      <c r="AI36" s="20">
        <f t="shared" si="116"/>
        <v>0.5</v>
      </c>
      <c r="AJ36" s="20">
        <f t="shared" si="116"/>
        <v>1</v>
      </c>
      <c r="AK36" s="20">
        <f t="shared" si="116"/>
        <v>1</v>
      </c>
      <c r="AL36" s="20">
        <f t="shared" si="116"/>
        <v>1</v>
      </c>
      <c r="AM36" s="20">
        <f t="shared" si="116"/>
        <v>1</v>
      </c>
      <c r="AN36" s="20">
        <f t="shared" si="116"/>
        <v>1</v>
      </c>
      <c r="AO36" s="20">
        <f t="shared" si="116"/>
        <v>1</v>
      </c>
      <c r="AP36" s="20">
        <f t="shared" si="116"/>
        <v>1</v>
      </c>
      <c r="AQ36" s="20">
        <f t="shared" si="116"/>
        <v>1</v>
      </c>
      <c r="AR36" s="20">
        <f t="shared" si="116"/>
        <v>1</v>
      </c>
      <c r="AS36" s="20">
        <f t="shared" si="116"/>
        <v>1</v>
      </c>
      <c r="AT36" s="20">
        <f t="shared" si="116"/>
        <v>1</v>
      </c>
      <c r="AU36" s="20">
        <f t="shared" si="116"/>
        <v>1</v>
      </c>
      <c r="AV36" s="20">
        <f t="shared" si="116"/>
        <v>1</v>
      </c>
      <c r="AW36" s="20">
        <f t="shared" si="116"/>
        <v>1</v>
      </c>
      <c r="AX36" s="20">
        <f t="shared" si="116"/>
        <v>1</v>
      </c>
      <c r="AY36" s="20">
        <f t="shared" si="116"/>
        <v>1</v>
      </c>
      <c r="AZ36" s="20">
        <f t="shared" si="116"/>
        <v>1</v>
      </c>
      <c r="BA36" s="20">
        <f t="shared" si="116"/>
        <v>1</v>
      </c>
      <c r="BB36" s="20">
        <f t="shared" si="116"/>
        <v>1</v>
      </c>
      <c r="BC36" s="20">
        <f t="shared" si="116"/>
        <v>1</v>
      </c>
      <c r="BD36" s="20">
        <f t="shared" si="116"/>
        <v>1</v>
      </c>
      <c r="BE36" s="20">
        <f t="shared" si="116"/>
        <v>1</v>
      </c>
      <c r="BF36" s="20">
        <f t="shared" si="116"/>
        <v>1</v>
      </c>
      <c r="BG36" s="20">
        <f t="shared" si="116"/>
        <v>1</v>
      </c>
      <c r="BH36" s="20">
        <f t="shared" si="116"/>
        <v>1</v>
      </c>
      <c r="BI36" s="20">
        <f t="shared" si="116"/>
        <v>1</v>
      </c>
      <c r="BJ36" s="20">
        <f t="shared" si="116"/>
        <v>1</v>
      </c>
      <c r="BK36" s="20">
        <f t="shared" si="116"/>
        <v>1</v>
      </c>
      <c r="BL36" s="20">
        <f t="shared" si="116"/>
        <v>1</v>
      </c>
      <c r="BM36" s="20">
        <f t="shared" si="116"/>
        <v>1</v>
      </c>
      <c r="BN36" s="20">
        <f t="shared" si="116"/>
        <v>1</v>
      </c>
      <c r="BO36" s="20">
        <f t="shared" si="116"/>
        <v>1</v>
      </c>
      <c r="BP36" s="20">
        <f t="shared" si="116"/>
        <v>1</v>
      </c>
      <c r="BQ36" s="20">
        <f t="shared" si="116"/>
        <v>1</v>
      </c>
      <c r="BR36" s="20">
        <f t="shared" si="116"/>
        <v>1</v>
      </c>
      <c r="BS36" s="20">
        <f t="shared" si="116"/>
        <v>1</v>
      </c>
      <c r="BT36" s="20">
        <f t="shared" ref="BT36:CR36" si="117">(BT38&gt;0)*0.5+(BT39&gt;0)*0.5</f>
        <v>1</v>
      </c>
      <c r="BU36" s="20">
        <f t="shared" si="117"/>
        <v>1</v>
      </c>
      <c r="BV36" s="20">
        <f t="shared" si="117"/>
        <v>1</v>
      </c>
      <c r="BW36" s="20">
        <f t="shared" si="117"/>
        <v>1</v>
      </c>
      <c r="BX36" s="20">
        <f t="shared" si="117"/>
        <v>1</v>
      </c>
      <c r="BY36" s="20">
        <f t="shared" si="117"/>
        <v>1</v>
      </c>
      <c r="BZ36" s="20">
        <f t="shared" si="117"/>
        <v>1</v>
      </c>
      <c r="CA36" s="20">
        <f t="shared" si="117"/>
        <v>1</v>
      </c>
      <c r="CB36" s="20">
        <f t="shared" si="117"/>
        <v>1</v>
      </c>
      <c r="CC36" s="20">
        <f t="shared" si="117"/>
        <v>1</v>
      </c>
      <c r="CD36" s="20">
        <f t="shared" si="117"/>
        <v>1</v>
      </c>
      <c r="CE36" s="20">
        <f t="shared" si="117"/>
        <v>1</v>
      </c>
      <c r="CF36" s="20">
        <f t="shared" si="117"/>
        <v>1</v>
      </c>
      <c r="CG36" s="20">
        <f t="shared" si="117"/>
        <v>1</v>
      </c>
      <c r="CH36" s="20">
        <f t="shared" si="117"/>
        <v>1</v>
      </c>
      <c r="CI36" s="20">
        <f t="shared" si="117"/>
        <v>1</v>
      </c>
      <c r="CJ36" s="20">
        <f t="shared" si="117"/>
        <v>1</v>
      </c>
      <c r="CK36" s="20">
        <f t="shared" si="117"/>
        <v>1</v>
      </c>
      <c r="CL36" s="20">
        <f t="shared" si="117"/>
        <v>1</v>
      </c>
      <c r="CM36" s="20">
        <f t="shared" si="117"/>
        <v>1</v>
      </c>
      <c r="CN36" s="20">
        <f t="shared" si="117"/>
        <v>1</v>
      </c>
      <c r="CO36" s="20">
        <f t="shared" si="117"/>
        <v>1</v>
      </c>
      <c r="CP36" s="20">
        <f t="shared" si="117"/>
        <v>1</v>
      </c>
      <c r="CQ36" s="20">
        <f t="shared" si="117"/>
        <v>1</v>
      </c>
      <c r="CR36" s="20">
        <f t="shared" si="117"/>
        <v>1</v>
      </c>
    </row>
    <row r="37" spans="2:96" x14ac:dyDescent="0.3">
      <c r="B37" s="10" t="s">
        <v>69</v>
      </c>
      <c r="C37" s="54" t="s">
        <v>76</v>
      </c>
      <c r="D37" s="11" t="s">
        <v>77</v>
      </c>
      <c r="E37" s="18" t="s">
        <v>78</v>
      </c>
      <c r="F37" s="11" t="s">
        <v>79</v>
      </c>
      <c r="G37" s="31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</row>
    <row r="38" spans="2:96" x14ac:dyDescent="0.3">
      <c r="B38" s="10" t="s">
        <v>70</v>
      </c>
      <c r="C38" s="63">
        <v>25</v>
      </c>
      <c r="D38" s="15">
        <f>4.25*12*F38</f>
        <v>5100000</v>
      </c>
      <c r="E38" s="66">
        <v>0.03</v>
      </c>
      <c r="F38" s="59">
        <v>100000</v>
      </c>
      <c r="G38" s="31">
        <f>(G$7&gt;=$C38)*($D38/12)*(1+$E38)^(G34-1)</f>
        <v>0</v>
      </c>
      <c r="H38" s="19">
        <f t="shared" ref="H38:BS38" si="118">(H$7&gt;=$C38)*($D38/12)*(1+$E38)^(H34-1)</f>
        <v>0</v>
      </c>
      <c r="I38" s="19">
        <f t="shared" si="118"/>
        <v>0</v>
      </c>
      <c r="J38" s="19">
        <f t="shared" si="118"/>
        <v>0</v>
      </c>
      <c r="K38" s="19">
        <f t="shared" si="118"/>
        <v>0</v>
      </c>
      <c r="L38" s="19">
        <f t="shared" si="118"/>
        <v>0</v>
      </c>
      <c r="M38" s="19">
        <f t="shared" si="118"/>
        <v>0</v>
      </c>
      <c r="N38" s="19">
        <f t="shared" si="118"/>
        <v>0</v>
      </c>
      <c r="O38" s="19">
        <f t="shared" si="118"/>
        <v>0</v>
      </c>
      <c r="P38" s="19">
        <f t="shared" si="118"/>
        <v>0</v>
      </c>
      <c r="Q38" s="19">
        <f t="shared" si="118"/>
        <v>0</v>
      </c>
      <c r="R38" s="19">
        <f t="shared" si="118"/>
        <v>0</v>
      </c>
      <c r="S38" s="19">
        <f t="shared" si="118"/>
        <v>0</v>
      </c>
      <c r="T38" s="19">
        <f t="shared" si="118"/>
        <v>0</v>
      </c>
      <c r="U38" s="19">
        <f t="shared" si="118"/>
        <v>0</v>
      </c>
      <c r="V38" s="19">
        <f t="shared" si="118"/>
        <v>0</v>
      </c>
      <c r="W38" s="19">
        <f t="shared" si="118"/>
        <v>0</v>
      </c>
      <c r="X38" s="19">
        <f t="shared" si="118"/>
        <v>0</v>
      </c>
      <c r="Y38" s="19">
        <f t="shared" si="118"/>
        <v>0</v>
      </c>
      <c r="Z38" s="19">
        <f t="shared" si="118"/>
        <v>0</v>
      </c>
      <c r="AA38" s="19">
        <f t="shared" si="118"/>
        <v>0</v>
      </c>
      <c r="AB38" s="19">
        <f t="shared" si="118"/>
        <v>0</v>
      </c>
      <c r="AC38" s="19">
        <f t="shared" si="118"/>
        <v>0</v>
      </c>
      <c r="AD38" s="19">
        <f t="shared" si="118"/>
        <v>0</v>
      </c>
      <c r="AE38" s="19">
        <f t="shared" si="118"/>
        <v>425000</v>
      </c>
      <c r="AF38" s="19">
        <f t="shared" si="118"/>
        <v>425000</v>
      </c>
      <c r="AG38" s="19">
        <f t="shared" si="118"/>
        <v>425000</v>
      </c>
      <c r="AH38" s="19">
        <f t="shared" si="118"/>
        <v>425000</v>
      </c>
      <c r="AI38" s="19">
        <f t="shared" si="118"/>
        <v>425000</v>
      </c>
      <c r="AJ38" s="19">
        <f t="shared" si="118"/>
        <v>425000</v>
      </c>
      <c r="AK38" s="19">
        <f t="shared" si="118"/>
        <v>425000</v>
      </c>
      <c r="AL38" s="19">
        <f t="shared" si="118"/>
        <v>425000</v>
      </c>
      <c r="AM38" s="19">
        <f t="shared" si="118"/>
        <v>425000</v>
      </c>
      <c r="AN38" s="19">
        <f t="shared" si="118"/>
        <v>425000</v>
      </c>
      <c r="AO38" s="19">
        <f t="shared" si="118"/>
        <v>425000</v>
      </c>
      <c r="AP38" s="19">
        <f t="shared" si="118"/>
        <v>425000</v>
      </c>
      <c r="AQ38" s="19">
        <f t="shared" si="118"/>
        <v>437750</v>
      </c>
      <c r="AR38" s="19">
        <f t="shared" si="118"/>
        <v>437750</v>
      </c>
      <c r="AS38" s="19">
        <f t="shared" si="118"/>
        <v>437750</v>
      </c>
      <c r="AT38" s="19">
        <f t="shared" si="118"/>
        <v>437750</v>
      </c>
      <c r="AU38" s="19">
        <f t="shared" si="118"/>
        <v>437750</v>
      </c>
      <c r="AV38" s="19">
        <f t="shared" si="118"/>
        <v>437750</v>
      </c>
      <c r="AW38" s="19">
        <f t="shared" si="118"/>
        <v>437750</v>
      </c>
      <c r="AX38" s="19">
        <f t="shared" si="118"/>
        <v>437750</v>
      </c>
      <c r="AY38" s="19">
        <f t="shared" si="118"/>
        <v>437750</v>
      </c>
      <c r="AZ38" s="19">
        <f t="shared" si="118"/>
        <v>437750</v>
      </c>
      <c r="BA38" s="19">
        <f t="shared" si="118"/>
        <v>437750</v>
      </c>
      <c r="BB38" s="19">
        <f t="shared" si="118"/>
        <v>437750</v>
      </c>
      <c r="BC38" s="19">
        <f t="shared" si="118"/>
        <v>450882.5</v>
      </c>
      <c r="BD38" s="19">
        <f t="shared" si="118"/>
        <v>450882.5</v>
      </c>
      <c r="BE38" s="19">
        <f t="shared" si="118"/>
        <v>450882.5</v>
      </c>
      <c r="BF38" s="19">
        <f t="shared" si="118"/>
        <v>450882.5</v>
      </c>
      <c r="BG38" s="19">
        <f t="shared" si="118"/>
        <v>450882.5</v>
      </c>
      <c r="BH38" s="19">
        <f t="shared" si="118"/>
        <v>450882.5</v>
      </c>
      <c r="BI38" s="19">
        <f t="shared" si="118"/>
        <v>450882.5</v>
      </c>
      <c r="BJ38" s="19">
        <f t="shared" si="118"/>
        <v>450882.5</v>
      </c>
      <c r="BK38" s="19">
        <f t="shared" si="118"/>
        <v>450882.5</v>
      </c>
      <c r="BL38" s="19">
        <f t="shared" si="118"/>
        <v>450882.5</v>
      </c>
      <c r="BM38" s="19">
        <f t="shared" si="118"/>
        <v>450882.5</v>
      </c>
      <c r="BN38" s="19">
        <f t="shared" si="118"/>
        <v>450882.5</v>
      </c>
      <c r="BO38" s="19">
        <f t="shared" si="118"/>
        <v>464408.97499999998</v>
      </c>
      <c r="BP38" s="19">
        <f t="shared" si="118"/>
        <v>464408.97499999998</v>
      </c>
      <c r="BQ38" s="19">
        <f t="shared" si="118"/>
        <v>464408.97499999998</v>
      </c>
      <c r="BR38" s="19">
        <f t="shared" si="118"/>
        <v>464408.97499999998</v>
      </c>
      <c r="BS38" s="19">
        <f t="shared" si="118"/>
        <v>464408.97499999998</v>
      </c>
      <c r="BT38" s="19">
        <f t="shared" ref="BT38:CR38" si="119">(BT$7&gt;=$C38)*($D38/12)*(1+$E38)^(BT34-1)</f>
        <v>464408.97499999998</v>
      </c>
      <c r="BU38" s="19">
        <f t="shared" si="119"/>
        <v>464408.97499999998</v>
      </c>
      <c r="BV38" s="19">
        <f t="shared" si="119"/>
        <v>464408.97499999998</v>
      </c>
      <c r="BW38" s="19">
        <f t="shared" si="119"/>
        <v>464408.97499999998</v>
      </c>
      <c r="BX38" s="19">
        <f t="shared" si="119"/>
        <v>464408.97499999998</v>
      </c>
      <c r="BY38" s="19">
        <f t="shared" si="119"/>
        <v>464408.97499999998</v>
      </c>
      <c r="BZ38" s="19">
        <f t="shared" si="119"/>
        <v>464408.97499999998</v>
      </c>
      <c r="CA38" s="19">
        <f t="shared" si="119"/>
        <v>478341.24424999999</v>
      </c>
      <c r="CB38" s="19">
        <f t="shared" si="119"/>
        <v>478341.24424999999</v>
      </c>
      <c r="CC38" s="19">
        <f t="shared" si="119"/>
        <v>478341.24424999999</v>
      </c>
      <c r="CD38" s="19">
        <f t="shared" si="119"/>
        <v>478341.24424999999</v>
      </c>
      <c r="CE38" s="19">
        <f t="shared" si="119"/>
        <v>478341.24424999999</v>
      </c>
      <c r="CF38" s="19">
        <f t="shared" si="119"/>
        <v>478341.24424999999</v>
      </c>
      <c r="CG38" s="19">
        <f t="shared" si="119"/>
        <v>478341.24424999999</v>
      </c>
      <c r="CH38" s="19">
        <f t="shared" si="119"/>
        <v>478341.24424999999</v>
      </c>
      <c r="CI38" s="19">
        <f t="shared" si="119"/>
        <v>478341.24424999999</v>
      </c>
      <c r="CJ38" s="19">
        <f t="shared" si="119"/>
        <v>478341.24424999999</v>
      </c>
      <c r="CK38" s="19">
        <f t="shared" si="119"/>
        <v>478341.24424999999</v>
      </c>
      <c r="CL38" s="19">
        <f t="shared" si="119"/>
        <v>478341.24424999999</v>
      </c>
      <c r="CM38" s="19">
        <f t="shared" si="119"/>
        <v>492691.48157749994</v>
      </c>
      <c r="CN38" s="19">
        <f t="shared" si="119"/>
        <v>492691.48157749994</v>
      </c>
      <c r="CO38" s="19">
        <f t="shared" si="119"/>
        <v>492691.48157749994</v>
      </c>
      <c r="CP38" s="19">
        <f t="shared" si="119"/>
        <v>492691.48157749994</v>
      </c>
      <c r="CQ38" s="19">
        <f t="shared" si="119"/>
        <v>492691.48157749994</v>
      </c>
      <c r="CR38" s="19">
        <f t="shared" si="119"/>
        <v>492691.48157749994</v>
      </c>
    </row>
    <row r="39" spans="2:96" x14ac:dyDescent="0.3">
      <c r="B39" s="10" t="s">
        <v>71</v>
      </c>
      <c r="C39" s="63">
        <v>30</v>
      </c>
      <c r="D39" s="15">
        <f>4.25*12*F39</f>
        <v>5100000</v>
      </c>
      <c r="E39" s="66">
        <v>0.03</v>
      </c>
      <c r="F39" s="59">
        <v>100000</v>
      </c>
      <c r="G39" s="31">
        <f>(G$7&gt;=$C39)*($D39/12)*(1+$E39)^(G35-1)</f>
        <v>0</v>
      </c>
      <c r="H39" s="19">
        <f t="shared" ref="H39:BS39" si="120">(H$7&gt;=$C39)*($D39/12)*(1+$E39)^(H35-1)</f>
        <v>0</v>
      </c>
      <c r="I39" s="19">
        <f t="shared" si="120"/>
        <v>0</v>
      </c>
      <c r="J39" s="19">
        <f t="shared" si="120"/>
        <v>0</v>
      </c>
      <c r="K39" s="19">
        <f t="shared" si="120"/>
        <v>0</v>
      </c>
      <c r="L39" s="19">
        <f t="shared" si="120"/>
        <v>0</v>
      </c>
      <c r="M39" s="19">
        <f t="shared" si="120"/>
        <v>0</v>
      </c>
      <c r="N39" s="19">
        <f t="shared" si="120"/>
        <v>0</v>
      </c>
      <c r="O39" s="19">
        <f t="shared" si="120"/>
        <v>0</v>
      </c>
      <c r="P39" s="19">
        <f t="shared" si="120"/>
        <v>0</v>
      </c>
      <c r="Q39" s="19">
        <f t="shared" si="120"/>
        <v>0</v>
      </c>
      <c r="R39" s="19">
        <f t="shared" si="120"/>
        <v>0</v>
      </c>
      <c r="S39" s="19">
        <f t="shared" si="120"/>
        <v>0</v>
      </c>
      <c r="T39" s="19">
        <f t="shared" si="120"/>
        <v>0</v>
      </c>
      <c r="U39" s="19">
        <f t="shared" si="120"/>
        <v>0</v>
      </c>
      <c r="V39" s="19">
        <f t="shared" si="120"/>
        <v>0</v>
      </c>
      <c r="W39" s="19">
        <f t="shared" si="120"/>
        <v>0</v>
      </c>
      <c r="X39" s="19">
        <f t="shared" si="120"/>
        <v>0</v>
      </c>
      <c r="Y39" s="19">
        <f t="shared" si="120"/>
        <v>0</v>
      </c>
      <c r="Z39" s="19">
        <f t="shared" si="120"/>
        <v>0</v>
      </c>
      <c r="AA39" s="19">
        <f t="shared" si="120"/>
        <v>0</v>
      </c>
      <c r="AB39" s="19">
        <f t="shared" si="120"/>
        <v>0</v>
      </c>
      <c r="AC39" s="19">
        <f t="shared" si="120"/>
        <v>0</v>
      </c>
      <c r="AD39" s="19">
        <f t="shared" si="120"/>
        <v>0</v>
      </c>
      <c r="AE39" s="19">
        <f t="shared" si="120"/>
        <v>0</v>
      </c>
      <c r="AF39" s="19">
        <f t="shared" si="120"/>
        <v>0</v>
      </c>
      <c r="AG39" s="19">
        <f t="shared" si="120"/>
        <v>0</v>
      </c>
      <c r="AH39" s="19">
        <f t="shared" si="120"/>
        <v>0</v>
      </c>
      <c r="AI39" s="19">
        <f t="shared" si="120"/>
        <v>0</v>
      </c>
      <c r="AJ39" s="19">
        <f t="shared" si="120"/>
        <v>425000</v>
      </c>
      <c r="AK39" s="19">
        <f t="shared" si="120"/>
        <v>425000</v>
      </c>
      <c r="AL39" s="19">
        <f t="shared" si="120"/>
        <v>425000</v>
      </c>
      <c r="AM39" s="19">
        <f t="shared" si="120"/>
        <v>425000</v>
      </c>
      <c r="AN39" s="19">
        <f t="shared" si="120"/>
        <v>425000</v>
      </c>
      <c r="AO39" s="19">
        <f t="shared" si="120"/>
        <v>425000</v>
      </c>
      <c r="AP39" s="19">
        <f t="shared" si="120"/>
        <v>425000</v>
      </c>
      <c r="AQ39" s="19">
        <f t="shared" si="120"/>
        <v>425000</v>
      </c>
      <c r="AR39" s="19">
        <f t="shared" si="120"/>
        <v>425000</v>
      </c>
      <c r="AS39" s="19">
        <f t="shared" si="120"/>
        <v>425000</v>
      </c>
      <c r="AT39" s="19">
        <f t="shared" si="120"/>
        <v>425000</v>
      </c>
      <c r="AU39" s="19">
        <f t="shared" si="120"/>
        <v>425000</v>
      </c>
      <c r="AV39" s="19">
        <f t="shared" si="120"/>
        <v>437750</v>
      </c>
      <c r="AW39" s="19">
        <f t="shared" si="120"/>
        <v>437750</v>
      </c>
      <c r="AX39" s="19">
        <f t="shared" si="120"/>
        <v>437750</v>
      </c>
      <c r="AY39" s="19">
        <f t="shared" si="120"/>
        <v>437750</v>
      </c>
      <c r="AZ39" s="19">
        <f t="shared" si="120"/>
        <v>437750</v>
      </c>
      <c r="BA39" s="19">
        <f t="shared" si="120"/>
        <v>437750</v>
      </c>
      <c r="BB39" s="19">
        <f t="shared" si="120"/>
        <v>437750</v>
      </c>
      <c r="BC39" s="19">
        <f t="shared" si="120"/>
        <v>437750</v>
      </c>
      <c r="BD39" s="19">
        <f t="shared" si="120"/>
        <v>437750</v>
      </c>
      <c r="BE39" s="19">
        <f t="shared" si="120"/>
        <v>437750</v>
      </c>
      <c r="BF39" s="19">
        <f t="shared" si="120"/>
        <v>437750</v>
      </c>
      <c r="BG39" s="19">
        <f t="shared" si="120"/>
        <v>437750</v>
      </c>
      <c r="BH39" s="19">
        <f t="shared" si="120"/>
        <v>450882.5</v>
      </c>
      <c r="BI39" s="19">
        <f t="shared" si="120"/>
        <v>450882.5</v>
      </c>
      <c r="BJ39" s="19">
        <f t="shared" si="120"/>
        <v>450882.5</v>
      </c>
      <c r="BK39" s="19">
        <f t="shared" si="120"/>
        <v>450882.5</v>
      </c>
      <c r="BL39" s="19">
        <f t="shared" si="120"/>
        <v>450882.5</v>
      </c>
      <c r="BM39" s="19">
        <f t="shared" si="120"/>
        <v>450882.5</v>
      </c>
      <c r="BN39" s="19">
        <f t="shared" si="120"/>
        <v>450882.5</v>
      </c>
      <c r="BO39" s="19">
        <f t="shared" si="120"/>
        <v>450882.5</v>
      </c>
      <c r="BP39" s="19">
        <f t="shared" si="120"/>
        <v>450882.5</v>
      </c>
      <c r="BQ39" s="19">
        <f t="shared" si="120"/>
        <v>450882.5</v>
      </c>
      <c r="BR39" s="19">
        <f t="shared" si="120"/>
        <v>450882.5</v>
      </c>
      <c r="BS39" s="19">
        <f t="shared" si="120"/>
        <v>450882.5</v>
      </c>
      <c r="BT39" s="19">
        <f t="shared" ref="BT39:CR39" si="121">(BT$7&gt;=$C39)*($D39/12)*(1+$E39)^(BT35-1)</f>
        <v>464408.97499999998</v>
      </c>
      <c r="BU39" s="19">
        <f t="shared" si="121"/>
        <v>464408.97499999998</v>
      </c>
      <c r="BV39" s="19">
        <f t="shared" si="121"/>
        <v>464408.97499999998</v>
      </c>
      <c r="BW39" s="19">
        <f t="shared" si="121"/>
        <v>464408.97499999998</v>
      </c>
      <c r="BX39" s="19">
        <f t="shared" si="121"/>
        <v>464408.97499999998</v>
      </c>
      <c r="BY39" s="19">
        <f t="shared" si="121"/>
        <v>464408.97499999998</v>
      </c>
      <c r="BZ39" s="19">
        <f t="shared" si="121"/>
        <v>464408.97499999998</v>
      </c>
      <c r="CA39" s="19">
        <f t="shared" si="121"/>
        <v>464408.97499999998</v>
      </c>
      <c r="CB39" s="19">
        <f t="shared" si="121"/>
        <v>464408.97499999998</v>
      </c>
      <c r="CC39" s="19">
        <f t="shared" si="121"/>
        <v>464408.97499999998</v>
      </c>
      <c r="CD39" s="19">
        <f t="shared" si="121"/>
        <v>464408.97499999998</v>
      </c>
      <c r="CE39" s="19">
        <f t="shared" si="121"/>
        <v>464408.97499999998</v>
      </c>
      <c r="CF39" s="19">
        <f t="shared" si="121"/>
        <v>478341.24424999999</v>
      </c>
      <c r="CG39" s="19">
        <f t="shared" si="121"/>
        <v>478341.24424999999</v>
      </c>
      <c r="CH39" s="19">
        <f t="shared" si="121"/>
        <v>478341.24424999999</v>
      </c>
      <c r="CI39" s="19">
        <f t="shared" si="121"/>
        <v>478341.24424999999</v>
      </c>
      <c r="CJ39" s="19">
        <f t="shared" si="121"/>
        <v>478341.24424999999</v>
      </c>
      <c r="CK39" s="19">
        <f t="shared" si="121"/>
        <v>478341.24424999999</v>
      </c>
      <c r="CL39" s="19">
        <f t="shared" si="121"/>
        <v>478341.24424999999</v>
      </c>
      <c r="CM39" s="19">
        <f t="shared" si="121"/>
        <v>478341.24424999999</v>
      </c>
      <c r="CN39" s="19">
        <f t="shared" si="121"/>
        <v>478341.24424999999</v>
      </c>
      <c r="CO39" s="19">
        <f t="shared" si="121"/>
        <v>478341.24424999999</v>
      </c>
      <c r="CP39" s="19">
        <f t="shared" si="121"/>
        <v>478341.24424999999</v>
      </c>
      <c r="CQ39" s="19">
        <f t="shared" si="121"/>
        <v>478341.24424999999</v>
      </c>
      <c r="CR39" s="19">
        <f t="shared" si="121"/>
        <v>492691.48157749994</v>
      </c>
    </row>
    <row r="40" spans="2:96" x14ac:dyDescent="0.3">
      <c r="B40" s="10" t="s">
        <v>72</v>
      </c>
      <c r="C40" s="67">
        <v>25</v>
      </c>
      <c r="D40" s="68">
        <v>27</v>
      </c>
      <c r="E40" s="11"/>
      <c r="G40" s="19">
        <f>AND(G$7&gt;=$C40,G$7&lt;=$D40)*-G38</f>
        <v>0</v>
      </c>
      <c r="H40" s="19">
        <f t="shared" ref="H40:BS40" si="122">AND(H$7&gt;=$C40,H$7&lt;=$D40)*-H38</f>
        <v>0</v>
      </c>
      <c r="I40" s="19">
        <f t="shared" si="122"/>
        <v>0</v>
      </c>
      <c r="J40" s="19">
        <f t="shared" si="122"/>
        <v>0</v>
      </c>
      <c r="K40" s="19">
        <f t="shared" si="122"/>
        <v>0</v>
      </c>
      <c r="L40" s="19">
        <f t="shared" si="122"/>
        <v>0</v>
      </c>
      <c r="M40" s="19">
        <f t="shared" si="122"/>
        <v>0</v>
      </c>
      <c r="N40" s="19">
        <f t="shared" si="122"/>
        <v>0</v>
      </c>
      <c r="O40" s="19">
        <f t="shared" si="122"/>
        <v>0</v>
      </c>
      <c r="P40" s="19">
        <f t="shared" si="122"/>
        <v>0</v>
      </c>
      <c r="Q40" s="19">
        <f t="shared" si="122"/>
        <v>0</v>
      </c>
      <c r="R40" s="19">
        <f t="shared" si="122"/>
        <v>0</v>
      </c>
      <c r="S40" s="19">
        <f t="shared" si="122"/>
        <v>0</v>
      </c>
      <c r="T40" s="19">
        <f t="shared" si="122"/>
        <v>0</v>
      </c>
      <c r="U40" s="19">
        <f t="shared" si="122"/>
        <v>0</v>
      </c>
      <c r="V40" s="19">
        <f t="shared" si="122"/>
        <v>0</v>
      </c>
      <c r="W40" s="19">
        <f t="shared" si="122"/>
        <v>0</v>
      </c>
      <c r="X40" s="19">
        <f t="shared" si="122"/>
        <v>0</v>
      </c>
      <c r="Y40" s="19">
        <f t="shared" si="122"/>
        <v>0</v>
      </c>
      <c r="Z40" s="19">
        <f t="shared" si="122"/>
        <v>0</v>
      </c>
      <c r="AA40" s="19">
        <f t="shared" si="122"/>
        <v>0</v>
      </c>
      <c r="AB40" s="19">
        <f t="shared" si="122"/>
        <v>0</v>
      </c>
      <c r="AC40" s="19">
        <f t="shared" si="122"/>
        <v>0</v>
      </c>
      <c r="AD40" s="19">
        <f t="shared" si="122"/>
        <v>0</v>
      </c>
      <c r="AE40" s="19">
        <f t="shared" si="122"/>
        <v>-425000</v>
      </c>
      <c r="AF40" s="19">
        <f t="shared" si="122"/>
        <v>-425000</v>
      </c>
      <c r="AG40" s="19">
        <f t="shared" si="122"/>
        <v>-425000</v>
      </c>
      <c r="AH40" s="19">
        <f t="shared" si="122"/>
        <v>0</v>
      </c>
      <c r="AI40" s="19">
        <f t="shared" si="122"/>
        <v>0</v>
      </c>
      <c r="AJ40" s="19">
        <f t="shared" si="122"/>
        <v>0</v>
      </c>
      <c r="AK40" s="19">
        <f t="shared" si="122"/>
        <v>0</v>
      </c>
      <c r="AL40" s="19">
        <f t="shared" si="122"/>
        <v>0</v>
      </c>
      <c r="AM40" s="19">
        <f t="shared" si="122"/>
        <v>0</v>
      </c>
      <c r="AN40" s="19">
        <f t="shared" si="122"/>
        <v>0</v>
      </c>
      <c r="AO40" s="19">
        <f t="shared" si="122"/>
        <v>0</v>
      </c>
      <c r="AP40" s="19">
        <f t="shared" si="122"/>
        <v>0</v>
      </c>
      <c r="AQ40" s="19">
        <f t="shared" si="122"/>
        <v>0</v>
      </c>
      <c r="AR40" s="19">
        <f t="shared" si="122"/>
        <v>0</v>
      </c>
      <c r="AS40" s="19">
        <f t="shared" si="122"/>
        <v>0</v>
      </c>
      <c r="AT40" s="19">
        <f t="shared" si="122"/>
        <v>0</v>
      </c>
      <c r="AU40" s="19">
        <f t="shared" si="122"/>
        <v>0</v>
      </c>
      <c r="AV40" s="19">
        <f t="shared" si="122"/>
        <v>0</v>
      </c>
      <c r="AW40" s="19">
        <f t="shared" si="122"/>
        <v>0</v>
      </c>
      <c r="AX40" s="19">
        <f t="shared" si="122"/>
        <v>0</v>
      </c>
      <c r="AY40" s="19">
        <f t="shared" si="122"/>
        <v>0</v>
      </c>
      <c r="AZ40" s="19">
        <f t="shared" si="122"/>
        <v>0</v>
      </c>
      <c r="BA40" s="19">
        <f t="shared" si="122"/>
        <v>0</v>
      </c>
      <c r="BB40" s="19">
        <f t="shared" si="122"/>
        <v>0</v>
      </c>
      <c r="BC40" s="19">
        <f t="shared" si="122"/>
        <v>0</v>
      </c>
      <c r="BD40" s="19">
        <f t="shared" si="122"/>
        <v>0</v>
      </c>
      <c r="BE40" s="19">
        <f t="shared" si="122"/>
        <v>0</v>
      </c>
      <c r="BF40" s="19">
        <f t="shared" si="122"/>
        <v>0</v>
      </c>
      <c r="BG40" s="19">
        <f t="shared" si="122"/>
        <v>0</v>
      </c>
      <c r="BH40" s="19">
        <f t="shared" si="122"/>
        <v>0</v>
      </c>
      <c r="BI40" s="19">
        <f t="shared" si="122"/>
        <v>0</v>
      </c>
      <c r="BJ40" s="19">
        <f t="shared" si="122"/>
        <v>0</v>
      </c>
      <c r="BK40" s="19">
        <f t="shared" si="122"/>
        <v>0</v>
      </c>
      <c r="BL40" s="19">
        <f t="shared" si="122"/>
        <v>0</v>
      </c>
      <c r="BM40" s="19">
        <f t="shared" si="122"/>
        <v>0</v>
      </c>
      <c r="BN40" s="19">
        <f t="shared" si="122"/>
        <v>0</v>
      </c>
      <c r="BO40" s="19">
        <f t="shared" si="122"/>
        <v>0</v>
      </c>
      <c r="BP40" s="19">
        <f t="shared" si="122"/>
        <v>0</v>
      </c>
      <c r="BQ40" s="19">
        <f t="shared" si="122"/>
        <v>0</v>
      </c>
      <c r="BR40" s="19">
        <f t="shared" si="122"/>
        <v>0</v>
      </c>
      <c r="BS40" s="19">
        <f t="shared" si="122"/>
        <v>0</v>
      </c>
      <c r="BT40" s="19">
        <f t="shared" ref="BT40:CR40" si="123">AND(BT$7&gt;=$C40,BT$7&lt;=$D40)*-BT38</f>
        <v>0</v>
      </c>
      <c r="BU40" s="19">
        <f t="shared" si="123"/>
        <v>0</v>
      </c>
      <c r="BV40" s="19">
        <f t="shared" si="123"/>
        <v>0</v>
      </c>
      <c r="BW40" s="19">
        <f t="shared" si="123"/>
        <v>0</v>
      </c>
      <c r="BX40" s="19">
        <f t="shared" si="123"/>
        <v>0</v>
      </c>
      <c r="BY40" s="19">
        <f t="shared" si="123"/>
        <v>0</v>
      </c>
      <c r="BZ40" s="19">
        <f t="shared" si="123"/>
        <v>0</v>
      </c>
      <c r="CA40" s="19">
        <f t="shared" si="123"/>
        <v>0</v>
      </c>
      <c r="CB40" s="19">
        <f t="shared" si="123"/>
        <v>0</v>
      </c>
      <c r="CC40" s="19">
        <f t="shared" si="123"/>
        <v>0</v>
      </c>
      <c r="CD40" s="19">
        <f t="shared" si="123"/>
        <v>0</v>
      </c>
      <c r="CE40" s="19">
        <f t="shared" si="123"/>
        <v>0</v>
      </c>
      <c r="CF40" s="19">
        <f t="shared" si="123"/>
        <v>0</v>
      </c>
      <c r="CG40" s="19">
        <f t="shared" si="123"/>
        <v>0</v>
      </c>
      <c r="CH40" s="19">
        <f t="shared" si="123"/>
        <v>0</v>
      </c>
      <c r="CI40" s="19">
        <f t="shared" si="123"/>
        <v>0</v>
      </c>
      <c r="CJ40" s="19">
        <f t="shared" si="123"/>
        <v>0</v>
      </c>
      <c r="CK40" s="19">
        <f t="shared" si="123"/>
        <v>0</v>
      </c>
      <c r="CL40" s="19">
        <f t="shared" si="123"/>
        <v>0</v>
      </c>
      <c r="CM40" s="19">
        <f t="shared" si="123"/>
        <v>0</v>
      </c>
      <c r="CN40" s="19">
        <f t="shared" si="123"/>
        <v>0</v>
      </c>
      <c r="CO40" s="19">
        <f t="shared" si="123"/>
        <v>0</v>
      </c>
      <c r="CP40" s="19">
        <f t="shared" si="123"/>
        <v>0</v>
      </c>
      <c r="CQ40" s="19">
        <f t="shared" si="123"/>
        <v>0</v>
      </c>
      <c r="CR40" s="19">
        <f t="shared" si="123"/>
        <v>0</v>
      </c>
    </row>
    <row r="41" spans="2:96" x14ac:dyDescent="0.3">
      <c r="B41" s="10" t="s">
        <v>73</v>
      </c>
      <c r="C41" s="69">
        <v>30</v>
      </c>
      <c r="D41" s="68">
        <v>32</v>
      </c>
      <c r="E41" s="11"/>
      <c r="G41" s="19">
        <f>AND(G$7&gt;=$C41,G$7&lt;=$D41)*-G39</f>
        <v>0</v>
      </c>
      <c r="H41" s="19">
        <f t="shared" ref="H41:BS41" si="124">AND(H$7&gt;=$C41,H$7&lt;=$D41)*-H39</f>
        <v>0</v>
      </c>
      <c r="I41" s="19">
        <f t="shared" si="124"/>
        <v>0</v>
      </c>
      <c r="J41" s="19">
        <f t="shared" si="124"/>
        <v>0</v>
      </c>
      <c r="K41" s="19">
        <f t="shared" si="124"/>
        <v>0</v>
      </c>
      <c r="L41" s="19">
        <f t="shared" si="124"/>
        <v>0</v>
      </c>
      <c r="M41" s="19">
        <f t="shared" si="124"/>
        <v>0</v>
      </c>
      <c r="N41" s="19">
        <f t="shared" si="124"/>
        <v>0</v>
      </c>
      <c r="O41" s="19">
        <f t="shared" si="124"/>
        <v>0</v>
      </c>
      <c r="P41" s="19">
        <f t="shared" si="124"/>
        <v>0</v>
      </c>
      <c r="Q41" s="19">
        <f t="shared" si="124"/>
        <v>0</v>
      </c>
      <c r="R41" s="19">
        <f t="shared" si="124"/>
        <v>0</v>
      </c>
      <c r="S41" s="19">
        <f t="shared" si="124"/>
        <v>0</v>
      </c>
      <c r="T41" s="19">
        <f t="shared" si="124"/>
        <v>0</v>
      </c>
      <c r="U41" s="19">
        <f t="shared" si="124"/>
        <v>0</v>
      </c>
      <c r="V41" s="19">
        <f t="shared" si="124"/>
        <v>0</v>
      </c>
      <c r="W41" s="19">
        <f t="shared" si="124"/>
        <v>0</v>
      </c>
      <c r="X41" s="19">
        <f t="shared" si="124"/>
        <v>0</v>
      </c>
      <c r="Y41" s="19">
        <f t="shared" si="124"/>
        <v>0</v>
      </c>
      <c r="Z41" s="19">
        <f t="shared" si="124"/>
        <v>0</v>
      </c>
      <c r="AA41" s="19">
        <f t="shared" si="124"/>
        <v>0</v>
      </c>
      <c r="AB41" s="19">
        <f t="shared" si="124"/>
        <v>0</v>
      </c>
      <c r="AC41" s="19">
        <f t="shared" si="124"/>
        <v>0</v>
      </c>
      <c r="AD41" s="19">
        <f t="shared" si="124"/>
        <v>0</v>
      </c>
      <c r="AE41" s="19">
        <f t="shared" si="124"/>
        <v>0</v>
      </c>
      <c r="AF41" s="19">
        <f t="shared" si="124"/>
        <v>0</v>
      </c>
      <c r="AG41" s="19">
        <f t="shared" si="124"/>
        <v>0</v>
      </c>
      <c r="AH41" s="19">
        <f t="shared" si="124"/>
        <v>0</v>
      </c>
      <c r="AI41" s="19">
        <f t="shared" si="124"/>
        <v>0</v>
      </c>
      <c r="AJ41" s="19">
        <f t="shared" si="124"/>
        <v>-425000</v>
      </c>
      <c r="AK41" s="19">
        <f t="shared" si="124"/>
        <v>-425000</v>
      </c>
      <c r="AL41" s="19">
        <f t="shared" si="124"/>
        <v>-425000</v>
      </c>
      <c r="AM41" s="19">
        <f t="shared" si="124"/>
        <v>0</v>
      </c>
      <c r="AN41" s="19">
        <f t="shared" si="124"/>
        <v>0</v>
      </c>
      <c r="AO41" s="19">
        <f t="shared" si="124"/>
        <v>0</v>
      </c>
      <c r="AP41" s="19">
        <f t="shared" si="124"/>
        <v>0</v>
      </c>
      <c r="AQ41" s="19">
        <f t="shared" si="124"/>
        <v>0</v>
      </c>
      <c r="AR41" s="19">
        <f t="shared" si="124"/>
        <v>0</v>
      </c>
      <c r="AS41" s="19">
        <f t="shared" si="124"/>
        <v>0</v>
      </c>
      <c r="AT41" s="19">
        <f t="shared" si="124"/>
        <v>0</v>
      </c>
      <c r="AU41" s="19">
        <f t="shared" si="124"/>
        <v>0</v>
      </c>
      <c r="AV41" s="19">
        <f t="shared" si="124"/>
        <v>0</v>
      </c>
      <c r="AW41" s="19">
        <f t="shared" si="124"/>
        <v>0</v>
      </c>
      <c r="AX41" s="19">
        <f t="shared" si="124"/>
        <v>0</v>
      </c>
      <c r="AY41" s="19">
        <f t="shared" si="124"/>
        <v>0</v>
      </c>
      <c r="AZ41" s="19">
        <f t="shared" si="124"/>
        <v>0</v>
      </c>
      <c r="BA41" s="19">
        <f t="shared" si="124"/>
        <v>0</v>
      </c>
      <c r="BB41" s="19">
        <f t="shared" si="124"/>
        <v>0</v>
      </c>
      <c r="BC41" s="19">
        <f t="shared" si="124"/>
        <v>0</v>
      </c>
      <c r="BD41" s="19">
        <f t="shared" si="124"/>
        <v>0</v>
      </c>
      <c r="BE41" s="19">
        <f t="shared" si="124"/>
        <v>0</v>
      </c>
      <c r="BF41" s="19">
        <f t="shared" si="124"/>
        <v>0</v>
      </c>
      <c r="BG41" s="19">
        <f t="shared" si="124"/>
        <v>0</v>
      </c>
      <c r="BH41" s="19">
        <f t="shared" si="124"/>
        <v>0</v>
      </c>
      <c r="BI41" s="19">
        <f t="shared" si="124"/>
        <v>0</v>
      </c>
      <c r="BJ41" s="19">
        <f t="shared" si="124"/>
        <v>0</v>
      </c>
      <c r="BK41" s="19">
        <f t="shared" si="124"/>
        <v>0</v>
      </c>
      <c r="BL41" s="19">
        <f t="shared" si="124"/>
        <v>0</v>
      </c>
      <c r="BM41" s="19">
        <f t="shared" si="124"/>
        <v>0</v>
      </c>
      <c r="BN41" s="19">
        <f t="shared" si="124"/>
        <v>0</v>
      </c>
      <c r="BO41" s="19">
        <f t="shared" si="124"/>
        <v>0</v>
      </c>
      <c r="BP41" s="19">
        <f t="shared" si="124"/>
        <v>0</v>
      </c>
      <c r="BQ41" s="19">
        <f t="shared" si="124"/>
        <v>0</v>
      </c>
      <c r="BR41" s="19">
        <f t="shared" si="124"/>
        <v>0</v>
      </c>
      <c r="BS41" s="19">
        <f t="shared" si="124"/>
        <v>0</v>
      </c>
      <c r="BT41" s="19">
        <f t="shared" ref="BT41:CR41" si="125">AND(BT$7&gt;=$C41,BT$7&lt;=$D41)*-BT39</f>
        <v>0</v>
      </c>
      <c r="BU41" s="19">
        <f t="shared" si="125"/>
        <v>0</v>
      </c>
      <c r="BV41" s="19">
        <f t="shared" si="125"/>
        <v>0</v>
      </c>
      <c r="BW41" s="19">
        <f t="shared" si="125"/>
        <v>0</v>
      </c>
      <c r="BX41" s="19">
        <f t="shared" si="125"/>
        <v>0</v>
      </c>
      <c r="BY41" s="19">
        <f t="shared" si="125"/>
        <v>0</v>
      </c>
      <c r="BZ41" s="19">
        <f t="shared" si="125"/>
        <v>0</v>
      </c>
      <c r="CA41" s="19">
        <f t="shared" si="125"/>
        <v>0</v>
      </c>
      <c r="CB41" s="19">
        <f t="shared" si="125"/>
        <v>0</v>
      </c>
      <c r="CC41" s="19">
        <f t="shared" si="125"/>
        <v>0</v>
      </c>
      <c r="CD41" s="19">
        <f t="shared" si="125"/>
        <v>0</v>
      </c>
      <c r="CE41" s="19">
        <f t="shared" si="125"/>
        <v>0</v>
      </c>
      <c r="CF41" s="19">
        <f t="shared" si="125"/>
        <v>0</v>
      </c>
      <c r="CG41" s="19">
        <f t="shared" si="125"/>
        <v>0</v>
      </c>
      <c r="CH41" s="19">
        <f t="shared" si="125"/>
        <v>0</v>
      </c>
      <c r="CI41" s="19">
        <f t="shared" si="125"/>
        <v>0</v>
      </c>
      <c r="CJ41" s="19">
        <f t="shared" si="125"/>
        <v>0</v>
      </c>
      <c r="CK41" s="19">
        <f t="shared" si="125"/>
        <v>0</v>
      </c>
      <c r="CL41" s="19">
        <f t="shared" si="125"/>
        <v>0</v>
      </c>
      <c r="CM41" s="19">
        <f t="shared" si="125"/>
        <v>0</v>
      </c>
      <c r="CN41" s="19">
        <f t="shared" si="125"/>
        <v>0</v>
      </c>
      <c r="CO41" s="19">
        <f t="shared" si="125"/>
        <v>0</v>
      </c>
      <c r="CP41" s="19">
        <f t="shared" si="125"/>
        <v>0</v>
      </c>
      <c r="CQ41" s="19">
        <f t="shared" si="125"/>
        <v>0</v>
      </c>
      <c r="CR41" s="19">
        <f t="shared" si="125"/>
        <v>0</v>
      </c>
    </row>
    <row r="42" spans="2:96" x14ac:dyDescent="0.3">
      <c r="B42" s="49" t="s">
        <v>74</v>
      </c>
      <c r="C42" s="53">
        <f>MIN(C38:C39)</f>
        <v>25</v>
      </c>
      <c r="D42" s="39">
        <f>SUM(D38:D39)</f>
        <v>10200000</v>
      </c>
      <c r="E42" s="11"/>
      <c r="G42" s="22">
        <f>SUM(G38:G41)</f>
        <v>0</v>
      </c>
      <c r="H42" s="22">
        <f t="shared" ref="H42:BS42" si="126">SUM(H38:H41)</f>
        <v>0</v>
      </c>
      <c r="I42" s="22">
        <f t="shared" si="126"/>
        <v>0</v>
      </c>
      <c r="J42" s="22">
        <f t="shared" si="126"/>
        <v>0</v>
      </c>
      <c r="K42" s="22">
        <f t="shared" si="126"/>
        <v>0</v>
      </c>
      <c r="L42" s="22">
        <f t="shared" si="126"/>
        <v>0</v>
      </c>
      <c r="M42" s="22">
        <f t="shared" si="126"/>
        <v>0</v>
      </c>
      <c r="N42" s="22">
        <f t="shared" si="126"/>
        <v>0</v>
      </c>
      <c r="O42" s="22">
        <f t="shared" si="126"/>
        <v>0</v>
      </c>
      <c r="P42" s="22">
        <f t="shared" si="126"/>
        <v>0</v>
      </c>
      <c r="Q42" s="22">
        <f t="shared" si="126"/>
        <v>0</v>
      </c>
      <c r="R42" s="22">
        <f t="shared" si="126"/>
        <v>0</v>
      </c>
      <c r="S42" s="22">
        <f t="shared" si="126"/>
        <v>0</v>
      </c>
      <c r="T42" s="22">
        <f t="shared" si="126"/>
        <v>0</v>
      </c>
      <c r="U42" s="22">
        <f t="shared" si="126"/>
        <v>0</v>
      </c>
      <c r="V42" s="22">
        <f t="shared" si="126"/>
        <v>0</v>
      </c>
      <c r="W42" s="22">
        <f t="shared" si="126"/>
        <v>0</v>
      </c>
      <c r="X42" s="22">
        <f t="shared" si="126"/>
        <v>0</v>
      </c>
      <c r="Y42" s="22">
        <f t="shared" si="126"/>
        <v>0</v>
      </c>
      <c r="Z42" s="22">
        <f t="shared" si="126"/>
        <v>0</v>
      </c>
      <c r="AA42" s="22">
        <f t="shared" si="126"/>
        <v>0</v>
      </c>
      <c r="AB42" s="22">
        <f t="shared" si="126"/>
        <v>0</v>
      </c>
      <c r="AC42" s="22">
        <f t="shared" si="126"/>
        <v>0</v>
      </c>
      <c r="AD42" s="22">
        <f t="shared" si="126"/>
        <v>0</v>
      </c>
      <c r="AE42" s="22">
        <f t="shared" si="126"/>
        <v>0</v>
      </c>
      <c r="AF42" s="22">
        <f t="shared" si="126"/>
        <v>0</v>
      </c>
      <c r="AG42" s="22">
        <f t="shared" si="126"/>
        <v>0</v>
      </c>
      <c r="AH42" s="22">
        <f t="shared" si="126"/>
        <v>425000</v>
      </c>
      <c r="AI42" s="22">
        <f t="shared" si="126"/>
        <v>425000</v>
      </c>
      <c r="AJ42" s="22">
        <f t="shared" si="126"/>
        <v>425000</v>
      </c>
      <c r="AK42" s="22">
        <f t="shared" si="126"/>
        <v>425000</v>
      </c>
      <c r="AL42" s="22">
        <f t="shared" si="126"/>
        <v>425000</v>
      </c>
      <c r="AM42" s="22">
        <f t="shared" si="126"/>
        <v>850000</v>
      </c>
      <c r="AN42" s="22">
        <f t="shared" si="126"/>
        <v>850000</v>
      </c>
      <c r="AO42" s="22">
        <f t="shared" si="126"/>
        <v>850000</v>
      </c>
      <c r="AP42" s="22">
        <f t="shared" si="126"/>
        <v>850000</v>
      </c>
      <c r="AQ42" s="22">
        <f t="shared" si="126"/>
        <v>862750</v>
      </c>
      <c r="AR42" s="22">
        <f t="shared" si="126"/>
        <v>862750</v>
      </c>
      <c r="AS42" s="22">
        <f t="shared" si="126"/>
        <v>862750</v>
      </c>
      <c r="AT42" s="22">
        <f t="shared" si="126"/>
        <v>862750</v>
      </c>
      <c r="AU42" s="22">
        <f t="shared" si="126"/>
        <v>862750</v>
      </c>
      <c r="AV42" s="22">
        <f t="shared" si="126"/>
        <v>875500</v>
      </c>
      <c r="AW42" s="22">
        <f t="shared" si="126"/>
        <v>875500</v>
      </c>
      <c r="AX42" s="22">
        <f t="shared" si="126"/>
        <v>875500</v>
      </c>
      <c r="AY42" s="22">
        <f t="shared" si="126"/>
        <v>875500</v>
      </c>
      <c r="AZ42" s="22">
        <f t="shared" si="126"/>
        <v>875500</v>
      </c>
      <c r="BA42" s="22">
        <f t="shared" si="126"/>
        <v>875500</v>
      </c>
      <c r="BB42" s="22">
        <f t="shared" si="126"/>
        <v>875500</v>
      </c>
      <c r="BC42" s="22">
        <f t="shared" si="126"/>
        <v>888632.5</v>
      </c>
      <c r="BD42" s="22">
        <f t="shared" si="126"/>
        <v>888632.5</v>
      </c>
      <c r="BE42" s="22">
        <f t="shared" si="126"/>
        <v>888632.5</v>
      </c>
      <c r="BF42" s="22">
        <f t="shared" si="126"/>
        <v>888632.5</v>
      </c>
      <c r="BG42" s="22">
        <f t="shared" si="126"/>
        <v>888632.5</v>
      </c>
      <c r="BH42" s="22">
        <f t="shared" si="126"/>
        <v>901765</v>
      </c>
      <c r="BI42" s="22">
        <f t="shared" si="126"/>
        <v>901765</v>
      </c>
      <c r="BJ42" s="22">
        <f t="shared" si="126"/>
        <v>901765</v>
      </c>
      <c r="BK42" s="22">
        <f t="shared" si="126"/>
        <v>901765</v>
      </c>
      <c r="BL42" s="22">
        <f t="shared" si="126"/>
        <v>901765</v>
      </c>
      <c r="BM42" s="22">
        <f t="shared" si="126"/>
        <v>901765</v>
      </c>
      <c r="BN42" s="22">
        <f t="shared" si="126"/>
        <v>901765</v>
      </c>
      <c r="BO42" s="22">
        <f t="shared" si="126"/>
        <v>915291.47499999998</v>
      </c>
      <c r="BP42" s="22">
        <f t="shared" si="126"/>
        <v>915291.47499999998</v>
      </c>
      <c r="BQ42" s="22">
        <f t="shared" si="126"/>
        <v>915291.47499999998</v>
      </c>
      <c r="BR42" s="22">
        <f t="shared" si="126"/>
        <v>915291.47499999998</v>
      </c>
      <c r="BS42" s="22">
        <f t="shared" si="126"/>
        <v>915291.47499999998</v>
      </c>
      <c r="BT42" s="22">
        <f t="shared" ref="BT42:CR42" si="127">SUM(BT38:BT41)</f>
        <v>928817.95</v>
      </c>
      <c r="BU42" s="22">
        <f t="shared" si="127"/>
        <v>928817.95</v>
      </c>
      <c r="BV42" s="22">
        <f t="shared" si="127"/>
        <v>928817.95</v>
      </c>
      <c r="BW42" s="22">
        <f t="shared" si="127"/>
        <v>928817.95</v>
      </c>
      <c r="BX42" s="22">
        <f t="shared" si="127"/>
        <v>928817.95</v>
      </c>
      <c r="BY42" s="22">
        <f t="shared" si="127"/>
        <v>928817.95</v>
      </c>
      <c r="BZ42" s="22">
        <f t="shared" si="127"/>
        <v>928817.95</v>
      </c>
      <c r="CA42" s="22">
        <f t="shared" si="127"/>
        <v>942750.21924999997</v>
      </c>
      <c r="CB42" s="22">
        <f t="shared" si="127"/>
        <v>942750.21924999997</v>
      </c>
      <c r="CC42" s="22">
        <f t="shared" si="127"/>
        <v>942750.21924999997</v>
      </c>
      <c r="CD42" s="22">
        <f t="shared" si="127"/>
        <v>942750.21924999997</v>
      </c>
      <c r="CE42" s="22">
        <f t="shared" si="127"/>
        <v>942750.21924999997</v>
      </c>
      <c r="CF42" s="22">
        <f t="shared" si="127"/>
        <v>956682.48849999998</v>
      </c>
      <c r="CG42" s="22">
        <f t="shared" si="127"/>
        <v>956682.48849999998</v>
      </c>
      <c r="CH42" s="22">
        <f t="shared" si="127"/>
        <v>956682.48849999998</v>
      </c>
      <c r="CI42" s="22">
        <f t="shared" si="127"/>
        <v>956682.48849999998</v>
      </c>
      <c r="CJ42" s="22">
        <f t="shared" si="127"/>
        <v>956682.48849999998</v>
      </c>
      <c r="CK42" s="22">
        <f t="shared" si="127"/>
        <v>956682.48849999998</v>
      </c>
      <c r="CL42" s="22">
        <f t="shared" si="127"/>
        <v>956682.48849999998</v>
      </c>
      <c r="CM42" s="22">
        <f t="shared" si="127"/>
        <v>971032.72582749999</v>
      </c>
      <c r="CN42" s="22">
        <f t="shared" si="127"/>
        <v>971032.72582749999</v>
      </c>
      <c r="CO42" s="22">
        <f t="shared" si="127"/>
        <v>971032.72582749999</v>
      </c>
      <c r="CP42" s="22">
        <f t="shared" si="127"/>
        <v>971032.72582749999</v>
      </c>
      <c r="CQ42" s="22">
        <f t="shared" si="127"/>
        <v>971032.72582749999</v>
      </c>
      <c r="CR42" s="22">
        <f t="shared" si="127"/>
        <v>985382.96315499989</v>
      </c>
    </row>
    <row r="43" spans="2:96" x14ac:dyDescent="0.3">
      <c r="B43" s="10" t="s">
        <v>80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</row>
    <row r="44" spans="2:96" x14ac:dyDescent="0.3">
      <c r="B44" s="10" t="s">
        <v>81</v>
      </c>
      <c r="C44" s="70">
        <v>1</v>
      </c>
      <c r="G44" s="19">
        <f>G36*$C$44*G49</f>
        <v>0</v>
      </c>
      <c r="H44" s="19">
        <f t="shared" ref="H44:BS44" si="128">H36*$C$44*H49</f>
        <v>0</v>
      </c>
      <c r="I44" s="19">
        <f t="shared" si="128"/>
        <v>0</v>
      </c>
      <c r="J44" s="19">
        <f t="shared" si="128"/>
        <v>0</v>
      </c>
      <c r="K44" s="19">
        <f t="shared" si="128"/>
        <v>0</v>
      </c>
      <c r="L44" s="19">
        <f t="shared" si="128"/>
        <v>0</v>
      </c>
      <c r="M44" s="19">
        <f t="shared" si="128"/>
        <v>0</v>
      </c>
      <c r="N44" s="19">
        <f t="shared" si="128"/>
        <v>0</v>
      </c>
      <c r="O44" s="19">
        <f t="shared" si="128"/>
        <v>0</v>
      </c>
      <c r="P44" s="19">
        <f t="shared" si="128"/>
        <v>0</v>
      </c>
      <c r="Q44" s="19">
        <f t="shared" si="128"/>
        <v>0</v>
      </c>
      <c r="R44" s="19">
        <f t="shared" si="128"/>
        <v>0</v>
      </c>
      <c r="S44" s="19">
        <f t="shared" si="128"/>
        <v>0</v>
      </c>
      <c r="T44" s="19">
        <f t="shared" si="128"/>
        <v>0</v>
      </c>
      <c r="U44" s="19">
        <f t="shared" si="128"/>
        <v>0</v>
      </c>
      <c r="V44" s="19">
        <f t="shared" si="128"/>
        <v>0</v>
      </c>
      <c r="W44" s="19">
        <f t="shared" si="128"/>
        <v>0</v>
      </c>
      <c r="X44" s="19">
        <f t="shared" si="128"/>
        <v>0</v>
      </c>
      <c r="Y44" s="19">
        <f t="shared" si="128"/>
        <v>0</v>
      </c>
      <c r="Z44" s="19">
        <f t="shared" si="128"/>
        <v>0</v>
      </c>
      <c r="AA44" s="19">
        <f t="shared" si="128"/>
        <v>0</v>
      </c>
      <c r="AB44" s="19">
        <f t="shared" si="128"/>
        <v>0</v>
      </c>
      <c r="AC44" s="19">
        <f t="shared" si="128"/>
        <v>0</v>
      </c>
      <c r="AD44" s="19">
        <f t="shared" si="128"/>
        <v>0</v>
      </c>
      <c r="AE44" s="19">
        <f t="shared" si="128"/>
        <v>133333.33333333334</v>
      </c>
      <c r="AF44" s="19">
        <f t="shared" si="128"/>
        <v>133333.33333333334</v>
      </c>
      <c r="AG44" s="19">
        <f t="shared" si="128"/>
        <v>133333.33333333334</v>
      </c>
      <c r="AH44" s="19">
        <f t="shared" si="128"/>
        <v>133333.33333333334</v>
      </c>
      <c r="AI44" s="19">
        <f t="shared" si="128"/>
        <v>133333.33333333334</v>
      </c>
      <c r="AJ44" s="19">
        <f t="shared" si="128"/>
        <v>266666.66666666669</v>
      </c>
      <c r="AK44" s="19">
        <f t="shared" si="128"/>
        <v>266666.66666666669</v>
      </c>
      <c r="AL44" s="19">
        <f t="shared" si="128"/>
        <v>266666.66666666669</v>
      </c>
      <c r="AM44" s="19">
        <f t="shared" si="128"/>
        <v>266666.66666666669</v>
      </c>
      <c r="AN44" s="19">
        <f t="shared" si="128"/>
        <v>266666.66666666669</v>
      </c>
      <c r="AO44" s="19">
        <f t="shared" si="128"/>
        <v>266666.66666666669</v>
      </c>
      <c r="AP44" s="19">
        <f t="shared" si="128"/>
        <v>266666.66666666669</v>
      </c>
      <c r="AQ44" s="19">
        <f t="shared" si="128"/>
        <v>266666.66666666669</v>
      </c>
      <c r="AR44" s="19">
        <f t="shared" si="128"/>
        <v>266666.66666666669</v>
      </c>
      <c r="AS44" s="19">
        <f t="shared" si="128"/>
        <v>266666.66666666669</v>
      </c>
      <c r="AT44" s="19">
        <f t="shared" si="128"/>
        <v>266666.66666666669</v>
      </c>
      <c r="AU44" s="19">
        <f t="shared" si="128"/>
        <v>266666.66666666669</v>
      </c>
      <c r="AV44" s="19">
        <f t="shared" si="128"/>
        <v>266666.66666666669</v>
      </c>
      <c r="AW44" s="19">
        <f t="shared" si="128"/>
        <v>266666.66666666669</v>
      </c>
      <c r="AX44" s="19">
        <f t="shared" si="128"/>
        <v>266666.66666666669</v>
      </c>
      <c r="AY44" s="19">
        <f t="shared" si="128"/>
        <v>266666.66666666669</v>
      </c>
      <c r="AZ44" s="19">
        <f t="shared" si="128"/>
        <v>266666.66666666669</v>
      </c>
      <c r="BA44" s="19">
        <f t="shared" si="128"/>
        <v>266666.66666666669</v>
      </c>
      <c r="BB44" s="19">
        <f t="shared" si="128"/>
        <v>266666.66666666669</v>
      </c>
      <c r="BC44" s="19">
        <f t="shared" si="128"/>
        <v>266666.66666666669</v>
      </c>
      <c r="BD44" s="19">
        <f t="shared" si="128"/>
        <v>266666.66666666669</v>
      </c>
      <c r="BE44" s="19">
        <f t="shared" si="128"/>
        <v>266666.66666666669</v>
      </c>
      <c r="BF44" s="19">
        <f t="shared" si="128"/>
        <v>266666.66666666669</v>
      </c>
      <c r="BG44" s="19">
        <f t="shared" si="128"/>
        <v>266666.66666666669</v>
      </c>
      <c r="BH44" s="19">
        <f t="shared" si="128"/>
        <v>266666.66666666669</v>
      </c>
      <c r="BI44" s="19">
        <f t="shared" si="128"/>
        <v>266666.66666666669</v>
      </c>
      <c r="BJ44" s="19">
        <f t="shared" si="128"/>
        <v>266666.66666666669</v>
      </c>
      <c r="BK44" s="19">
        <f t="shared" si="128"/>
        <v>266666.66666666669</v>
      </c>
      <c r="BL44" s="19">
        <f t="shared" si="128"/>
        <v>266666.66666666669</v>
      </c>
      <c r="BM44" s="19">
        <f t="shared" si="128"/>
        <v>266666.66666666669</v>
      </c>
      <c r="BN44" s="19">
        <f t="shared" si="128"/>
        <v>266666.66666666669</v>
      </c>
      <c r="BO44" s="19">
        <f t="shared" si="128"/>
        <v>266666.66666666669</v>
      </c>
      <c r="BP44" s="19">
        <f t="shared" si="128"/>
        <v>266666.66666666669</v>
      </c>
      <c r="BQ44" s="19">
        <f t="shared" si="128"/>
        <v>266666.66666666669</v>
      </c>
      <c r="BR44" s="19">
        <f t="shared" si="128"/>
        <v>266666.66666666669</v>
      </c>
      <c r="BS44" s="19">
        <f t="shared" si="128"/>
        <v>266666.66666666669</v>
      </c>
      <c r="BT44" s="19">
        <f t="shared" ref="BT44:CR44" si="129">BT36*$C$44*BT49</f>
        <v>266666.66666666669</v>
      </c>
      <c r="BU44" s="19">
        <f t="shared" si="129"/>
        <v>266666.66666666669</v>
      </c>
      <c r="BV44" s="19">
        <f t="shared" si="129"/>
        <v>266666.66666666669</v>
      </c>
      <c r="BW44" s="19">
        <f t="shared" si="129"/>
        <v>266666.66666666669</v>
      </c>
      <c r="BX44" s="19">
        <f t="shared" si="129"/>
        <v>266666.66666666669</v>
      </c>
      <c r="BY44" s="19">
        <f t="shared" si="129"/>
        <v>266666.66666666669</v>
      </c>
      <c r="BZ44" s="19">
        <f t="shared" si="129"/>
        <v>266666.66666666669</v>
      </c>
      <c r="CA44" s="19">
        <f t="shared" si="129"/>
        <v>266666.66666666669</v>
      </c>
      <c r="CB44" s="19">
        <f t="shared" si="129"/>
        <v>266666.66666666669</v>
      </c>
      <c r="CC44" s="19">
        <f t="shared" si="129"/>
        <v>266666.66666666669</v>
      </c>
      <c r="CD44" s="19">
        <f t="shared" si="129"/>
        <v>266666.66666666669</v>
      </c>
      <c r="CE44" s="19">
        <f t="shared" si="129"/>
        <v>266666.66666666669</v>
      </c>
      <c r="CF44" s="19">
        <f t="shared" si="129"/>
        <v>266666.66666666669</v>
      </c>
      <c r="CG44" s="19">
        <f t="shared" si="129"/>
        <v>266666.66666666669</v>
      </c>
      <c r="CH44" s="19">
        <f t="shared" si="129"/>
        <v>266666.66666666669</v>
      </c>
      <c r="CI44" s="19">
        <f t="shared" si="129"/>
        <v>266666.66666666669</v>
      </c>
      <c r="CJ44" s="19">
        <f t="shared" si="129"/>
        <v>266666.66666666669</v>
      </c>
      <c r="CK44" s="19">
        <f t="shared" si="129"/>
        <v>266666.66666666669</v>
      </c>
      <c r="CL44" s="19">
        <f t="shared" si="129"/>
        <v>266666.66666666669</v>
      </c>
      <c r="CM44" s="19">
        <f t="shared" si="129"/>
        <v>266666.66666666669</v>
      </c>
      <c r="CN44" s="19">
        <f t="shared" si="129"/>
        <v>266666.66666666669</v>
      </c>
      <c r="CO44" s="19">
        <f t="shared" si="129"/>
        <v>266666.66666666669</v>
      </c>
      <c r="CP44" s="19">
        <f t="shared" si="129"/>
        <v>266666.66666666669</v>
      </c>
      <c r="CQ44" s="19">
        <f t="shared" si="129"/>
        <v>266666.66666666669</v>
      </c>
      <c r="CR44" s="19">
        <f t="shared" si="129"/>
        <v>266666.66666666669</v>
      </c>
    </row>
    <row r="45" spans="2:96" x14ac:dyDescent="0.3">
      <c r="B45" s="49" t="s">
        <v>82</v>
      </c>
      <c r="C45" s="1"/>
      <c r="D45" s="1"/>
      <c r="E45" s="1"/>
      <c r="F45" s="1"/>
      <c r="G45" s="22">
        <f>G42+G44</f>
        <v>0</v>
      </c>
      <c r="H45" s="22">
        <f t="shared" ref="H45:BS45" si="130">H42+H44</f>
        <v>0</v>
      </c>
      <c r="I45" s="22">
        <f t="shared" si="130"/>
        <v>0</v>
      </c>
      <c r="J45" s="22">
        <f t="shared" si="130"/>
        <v>0</v>
      </c>
      <c r="K45" s="22">
        <f t="shared" si="130"/>
        <v>0</v>
      </c>
      <c r="L45" s="22">
        <f t="shared" si="130"/>
        <v>0</v>
      </c>
      <c r="M45" s="22">
        <f t="shared" si="130"/>
        <v>0</v>
      </c>
      <c r="N45" s="22">
        <f t="shared" si="130"/>
        <v>0</v>
      </c>
      <c r="O45" s="22">
        <f t="shared" si="130"/>
        <v>0</v>
      </c>
      <c r="P45" s="22">
        <f t="shared" si="130"/>
        <v>0</v>
      </c>
      <c r="Q45" s="22">
        <f t="shared" si="130"/>
        <v>0</v>
      </c>
      <c r="R45" s="22">
        <f t="shared" si="130"/>
        <v>0</v>
      </c>
      <c r="S45" s="22">
        <f t="shared" si="130"/>
        <v>0</v>
      </c>
      <c r="T45" s="22">
        <f t="shared" si="130"/>
        <v>0</v>
      </c>
      <c r="U45" s="22">
        <f t="shared" si="130"/>
        <v>0</v>
      </c>
      <c r="V45" s="22">
        <f t="shared" si="130"/>
        <v>0</v>
      </c>
      <c r="W45" s="22">
        <f t="shared" si="130"/>
        <v>0</v>
      </c>
      <c r="X45" s="22">
        <f t="shared" si="130"/>
        <v>0</v>
      </c>
      <c r="Y45" s="22">
        <f t="shared" si="130"/>
        <v>0</v>
      </c>
      <c r="Z45" s="22">
        <f t="shared" si="130"/>
        <v>0</v>
      </c>
      <c r="AA45" s="22">
        <f t="shared" si="130"/>
        <v>0</v>
      </c>
      <c r="AB45" s="22">
        <f t="shared" si="130"/>
        <v>0</v>
      </c>
      <c r="AC45" s="22">
        <f t="shared" si="130"/>
        <v>0</v>
      </c>
      <c r="AD45" s="22">
        <f t="shared" si="130"/>
        <v>0</v>
      </c>
      <c r="AE45" s="22">
        <f t="shared" si="130"/>
        <v>133333.33333333334</v>
      </c>
      <c r="AF45" s="22">
        <f t="shared" si="130"/>
        <v>133333.33333333334</v>
      </c>
      <c r="AG45" s="22">
        <f t="shared" si="130"/>
        <v>133333.33333333334</v>
      </c>
      <c r="AH45" s="22">
        <f t="shared" si="130"/>
        <v>558333.33333333337</v>
      </c>
      <c r="AI45" s="22">
        <f t="shared" si="130"/>
        <v>558333.33333333337</v>
      </c>
      <c r="AJ45" s="22">
        <f t="shared" si="130"/>
        <v>691666.66666666674</v>
      </c>
      <c r="AK45" s="22">
        <f t="shared" si="130"/>
        <v>691666.66666666674</v>
      </c>
      <c r="AL45" s="22">
        <f t="shared" si="130"/>
        <v>691666.66666666674</v>
      </c>
      <c r="AM45" s="22">
        <f t="shared" si="130"/>
        <v>1116666.6666666667</v>
      </c>
      <c r="AN45" s="22">
        <f t="shared" si="130"/>
        <v>1116666.6666666667</v>
      </c>
      <c r="AO45" s="22">
        <f t="shared" si="130"/>
        <v>1116666.6666666667</v>
      </c>
      <c r="AP45" s="22">
        <f t="shared" si="130"/>
        <v>1116666.6666666667</v>
      </c>
      <c r="AQ45" s="22">
        <f t="shared" si="130"/>
        <v>1129416.6666666667</v>
      </c>
      <c r="AR45" s="22">
        <f t="shared" si="130"/>
        <v>1129416.6666666667</v>
      </c>
      <c r="AS45" s="22">
        <f t="shared" si="130"/>
        <v>1129416.6666666667</v>
      </c>
      <c r="AT45" s="22">
        <f t="shared" si="130"/>
        <v>1129416.6666666667</v>
      </c>
      <c r="AU45" s="22">
        <f t="shared" si="130"/>
        <v>1129416.6666666667</v>
      </c>
      <c r="AV45" s="22">
        <f t="shared" si="130"/>
        <v>1142166.6666666667</v>
      </c>
      <c r="AW45" s="22">
        <f t="shared" si="130"/>
        <v>1142166.6666666667</v>
      </c>
      <c r="AX45" s="22">
        <f t="shared" si="130"/>
        <v>1142166.6666666667</v>
      </c>
      <c r="AY45" s="22">
        <f t="shared" si="130"/>
        <v>1142166.6666666667</v>
      </c>
      <c r="AZ45" s="22">
        <f t="shared" si="130"/>
        <v>1142166.6666666667</v>
      </c>
      <c r="BA45" s="22">
        <f t="shared" si="130"/>
        <v>1142166.6666666667</v>
      </c>
      <c r="BB45" s="22">
        <f t="shared" si="130"/>
        <v>1142166.6666666667</v>
      </c>
      <c r="BC45" s="22">
        <f t="shared" si="130"/>
        <v>1155299.1666666667</v>
      </c>
      <c r="BD45" s="22">
        <f t="shared" si="130"/>
        <v>1155299.1666666667</v>
      </c>
      <c r="BE45" s="22">
        <f t="shared" si="130"/>
        <v>1155299.1666666667</v>
      </c>
      <c r="BF45" s="22">
        <f t="shared" si="130"/>
        <v>1155299.1666666667</v>
      </c>
      <c r="BG45" s="22">
        <f t="shared" si="130"/>
        <v>1155299.1666666667</v>
      </c>
      <c r="BH45" s="22">
        <f t="shared" si="130"/>
        <v>1168431.6666666667</v>
      </c>
      <c r="BI45" s="22">
        <f t="shared" si="130"/>
        <v>1168431.6666666667</v>
      </c>
      <c r="BJ45" s="22">
        <f t="shared" si="130"/>
        <v>1168431.6666666667</v>
      </c>
      <c r="BK45" s="22">
        <f t="shared" si="130"/>
        <v>1168431.6666666667</v>
      </c>
      <c r="BL45" s="22">
        <f t="shared" si="130"/>
        <v>1168431.6666666667</v>
      </c>
      <c r="BM45" s="22">
        <f t="shared" si="130"/>
        <v>1168431.6666666667</v>
      </c>
      <c r="BN45" s="22">
        <f t="shared" si="130"/>
        <v>1168431.6666666667</v>
      </c>
      <c r="BO45" s="22">
        <f t="shared" si="130"/>
        <v>1181958.1416666666</v>
      </c>
      <c r="BP45" s="22">
        <f t="shared" si="130"/>
        <v>1181958.1416666666</v>
      </c>
      <c r="BQ45" s="22">
        <f t="shared" si="130"/>
        <v>1181958.1416666666</v>
      </c>
      <c r="BR45" s="22">
        <f t="shared" si="130"/>
        <v>1181958.1416666666</v>
      </c>
      <c r="BS45" s="22">
        <f t="shared" si="130"/>
        <v>1181958.1416666666</v>
      </c>
      <c r="BT45" s="22">
        <f t="shared" ref="BT45:CR45" si="131">BT42+BT44</f>
        <v>1195484.6166666667</v>
      </c>
      <c r="BU45" s="22">
        <f t="shared" si="131"/>
        <v>1195484.6166666667</v>
      </c>
      <c r="BV45" s="22">
        <f t="shared" si="131"/>
        <v>1195484.6166666667</v>
      </c>
      <c r="BW45" s="22">
        <f t="shared" si="131"/>
        <v>1195484.6166666667</v>
      </c>
      <c r="BX45" s="22">
        <f t="shared" si="131"/>
        <v>1195484.6166666667</v>
      </c>
      <c r="BY45" s="22">
        <f t="shared" si="131"/>
        <v>1195484.6166666667</v>
      </c>
      <c r="BZ45" s="22">
        <f t="shared" si="131"/>
        <v>1195484.6166666667</v>
      </c>
      <c r="CA45" s="22">
        <f t="shared" si="131"/>
        <v>1209416.8859166666</v>
      </c>
      <c r="CB45" s="22">
        <f t="shared" si="131"/>
        <v>1209416.8859166666</v>
      </c>
      <c r="CC45" s="22">
        <f t="shared" si="131"/>
        <v>1209416.8859166666</v>
      </c>
      <c r="CD45" s="22">
        <f t="shared" si="131"/>
        <v>1209416.8859166666</v>
      </c>
      <c r="CE45" s="22">
        <f t="shared" si="131"/>
        <v>1209416.8859166666</v>
      </c>
      <c r="CF45" s="22">
        <f t="shared" si="131"/>
        <v>1223349.1551666667</v>
      </c>
      <c r="CG45" s="22">
        <f t="shared" si="131"/>
        <v>1223349.1551666667</v>
      </c>
      <c r="CH45" s="22">
        <f t="shared" si="131"/>
        <v>1223349.1551666667</v>
      </c>
      <c r="CI45" s="22">
        <f t="shared" si="131"/>
        <v>1223349.1551666667</v>
      </c>
      <c r="CJ45" s="22">
        <f t="shared" si="131"/>
        <v>1223349.1551666667</v>
      </c>
      <c r="CK45" s="22">
        <f t="shared" si="131"/>
        <v>1223349.1551666667</v>
      </c>
      <c r="CL45" s="22">
        <f t="shared" si="131"/>
        <v>1223349.1551666667</v>
      </c>
      <c r="CM45" s="22">
        <f t="shared" si="131"/>
        <v>1237699.3924941667</v>
      </c>
      <c r="CN45" s="22">
        <f t="shared" si="131"/>
        <v>1237699.3924941667</v>
      </c>
      <c r="CO45" s="22">
        <f t="shared" si="131"/>
        <v>1237699.3924941667</v>
      </c>
      <c r="CP45" s="22">
        <f t="shared" si="131"/>
        <v>1237699.3924941667</v>
      </c>
      <c r="CQ45" s="22">
        <f t="shared" si="131"/>
        <v>1237699.3924941667</v>
      </c>
      <c r="CR45" s="22">
        <f t="shared" si="131"/>
        <v>1252049.6298216665</v>
      </c>
    </row>
    <row r="46" spans="2:96" x14ac:dyDescent="0.3">
      <c r="B46" s="10" t="s">
        <v>83</v>
      </c>
      <c r="C46" s="71">
        <v>0.05</v>
      </c>
      <c r="G46" s="19">
        <f>(G36=1)*-($C46*G45)</f>
        <v>0</v>
      </c>
      <c r="H46" s="19">
        <f t="shared" ref="H46:BS46" si="132">(H36=1)*-($C46*H45)</f>
        <v>0</v>
      </c>
      <c r="I46" s="19">
        <f t="shared" si="132"/>
        <v>0</v>
      </c>
      <c r="J46" s="19">
        <f t="shared" si="132"/>
        <v>0</v>
      </c>
      <c r="K46" s="19">
        <f t="shared" si="132"/>
        <v>0</v>
      </c>
      <c r="L46" s="19">
        <f t="shared" si="132"/>
        <v>0</v>
      </c>
      <c r="M46" s="19">
        <f t="shared" si="132"/>
        <v>0</v>
      </c>
      <c r="N46" s="19">
        <f t="shared" si="132"/>
        <v>0</v>
      </c>
      <c r="O46" s="19">
        <f t="shared" si="132"/>
        <v>0</v>
      </c>
      <c r="P46" s="19">
        <f t="shared" si="132"/>
        <v>0</v>
      </c>
      <c r="Q46" s="19">
        <f t="shared" si="132"/>
        <v>0</v>
      </c>
      <c r="R46" s="19">
        <f t="shared" si="132"/>
        <v>0</v>
      </c>
      <c r="S46" s="19">
        <f t="shared" si="132"/>
        <v>0</v>
      </c>
      <c r="T46" s="19">
        <f t="shared" si="132"/>
        <v>0</v>
      </c>
      <c r="U46" s="19">
        <f t="shared" si="132"/>
        <v>0</v>
      </c>
      <c r="V46" s="19">
        <f t="shared" si="132"/>
        <v>0</v>
      </c>
      <c r="W46" s="19">
        <f t="shared" si="132"/>
        <v>0</v>
      </c>
      <c r="X46" s="19">
        <f t="shared" si="132"/>
        <v>0</v>
      </c>
      <c r="Y46" s="19">
        <f t="shared" si="132"/>
        <v>0</v>
      </c>
      <c r="Z46" s="19">
        <f t="shared" si="132"/>
        <v>0</v>
      </c>
      <c r="AA46" s="19">
        <f t="shared" si="132"/>
        <v>0</v>
      </c>
      <c r="AB46" s="19">
        <f t="shared" si="132"/>
        <v>0</v>
      </c>
      <c r="AC46" s="19">
        <f t="shared" si="132"/>
        <v>0</v>
      </c>
      <c r="AD46" s="19">
        <f t="shared" si="132"/>
        <v>0</v>
      </c>
      <c r="AE46" s="19">
        <f t="shared" si="132"/>
        <v>0</v>
      </c>
      <c r="AF46" s="19">
        <f t="shared" si="132"/>
        <v>0</v>
      </c>
      <c r="AG46" s="19">
        <f t="shared" si="132"/>
        <v>0</v>
      </c>
      <c r="AH46" s="19">
        <f t="shared" si="132"/>
        <v>0</v>
      </c>
      <c r="AI46" s="19">
        <f t="shared" si="132"/>
        <v>0</v>
      </c>
      <c r="AJ46" s="19">
        <f t="shared" si="132"/>
        <v>-34583.333333333336</v>
      </c>
      <c r="AK46" s="19">
        <f t="shared" si="132"/>
        <v>-34583.333333333336</v>
      </c>
      <c r="AL46" s="19">
        <f t="shared" si="132"/>
        <v>-34583.333333333336</v>
      </c>
      <c r="AM46" s="19">
        <f t="shared" si="132"/>
        <v>-55833.333333333343</v>
      </c>
      <c r="AN46" s="19">
        <f t="shared" si="132"/>
        <v>-55833.333333333343</v>
      </c>
      <c r="AO46" s="19">
        <f t="shared" si="132"/>
        <v>-55833.333333333343</v>
      </c>
      <c r="AP46" s="19">
        <f t="shared" si="132"/>
        <v>-55833.333333333343</v>
      </c>
      <c r="AQ46" s="19">
        <f t="shared" si="132"/>
        <v>-56470.833333333343</v>
      </c>
      <c r="AR46" s="19">
        <f t="shared" si="132"/>
        <v>-56470.833333333343</v>
      </c>
      <c r="AS46" s="19">
        <f t="shared" si="132"/>
        <v>-56470.833333333343</v>
      </c>
      <c r="AT46" s="19">
        <f t="shared" si="132"/>
        <v>-56470.833333333343</v>
      </c>
      <c r="AU46" s="19">
        <f t="shared" si="132"/>
        <v>-56470.833333333343</v>
      </c>
      <c r="AV46" s="19">
        <f t="shared" si="132"/>
        <v>-57108.333333333343</v>
      </c>
      <c r="AW46" s="19">
        <f t="shared" si="132"/>
        <v>-57108.333333333343</v>
      </c>
      <c r="AX46" s="19">
        <f t="shared" si="132"/>
        <v>-57108.333333333343</v>
      </c>
      <c r="AY46" s="19">
        <f t="shared" si="132"/>
        <v>-57108.333333333343</v>
      </c>
      <c r="AZ46" s="19">
        <f t="shared" si="132"/>
        <v>-57108.333333333343</v>
      </c>
      <c r="BA46" s="19">
        <f t="shared" si="132"/>
        <v>-57108.333333333343</v>
      </c>
      <c r="BB46" s="19">
        <f t="shared" si="132"/>
        <v>-57108.333333333343</v>
      </c>
      <c r="BC46" s="19">
        <f t="shared" si="132"/>
        <v>-57764.958333333343</v>
      </c>
      <c r="BD46" s="19">
        <f t="shared" si="132"/>
        <v>-57764.958333333343</v>
      </c>
      <c r="BE46" s="19">
        <f t="shared" si="132"/>
        <v>-57764.958333333343</v>
      </c>
      <c r="BF46" s="19">
        <f t="shared" si="132"/>
        <v>-57764.958333333343</v>
      </c>
      <c r="BG46" s="19">
        <f t="shared" si="132"/>
        <v>-57764.958333333343</v>
      </c>
      <c r="BH46" s="19">
        <f t="shared" si="132"/>
        <v>-58421.583333333343</v>
      </c>
      <c r="BI46" s="19">
        <f t="shared" si="132"/>
        <v>-58421.583333333343</v>
      </c>
      <c r="BJ46" s="19">
        <f t="shared" si="132"/>
        <v>-58421.583333333343</v>
      </c>
      <c r="BK46" s="19">
        <f t="shared" si="132"/>
        <v>-58421.583333333343</v>
      </c>
      <c r="BL46" s="19">
        <f t="shared" si="132"/>
        <v>-58421.583333333343</v>
      </c>
      <c r="BM46" s="19">
        <f t="shared" si="132"/>
        <v>-58421.583333333343</v>
      </c>
      <c r="BN46" s="19">
        <f t="shared" si="132"/>
        <v>-58421.583333333343</v>
      </c>
      <c r="BO46" s="19">
        <f t="shared" si="132"/>
        <v>-59097.907083333332</v>
      </c>
      <c r="BP46" s="19">
        <f t="shared" si="132"/>
        <v>-59097.907083333332</v>
      </c>
      <c r="BQ46" s="19">
        <f t="shared" si="132"/>
        <v>-59097.907083333332</v>
      </c>
      <c r="BR46" s="19">
        <f t="shared" si="132"/>
        <v>-59097.907083333332</v>
      </c>
      <c r="BS46" s="19">
        <f t="shared" si="132"/>
        <v>-59097.907083333332</v>
      </c>
      <c r="BT46" s="19">
        <f t="shared" ref="BT46:CR46" si="133">(BT36=1)*-($C46*BT45)</f>
        <v>-59774.230833333335</v>
      </c>
      <c r="BU46" s="19">
        <f t="shared" si="133"/>
        <v>-59774.230833333335</v>
      </c>
      <c r="BV46" s="19">
        <f t="shared" si="133"/>
        <v>-59774.230833333335</v>
      </c>
      <c r="BW46" s="19">
        <f t="shared" si="133"/>
        <v>-59774.230833333335</v>
      </c>
      <c r="BX46" s="19">
        <f t="shared" si="133"/>
        <v>-59774.230833333335</v>
      </c>
      <c r="BY46" s="19">
        <f t="shared" si="133"/>
        <v>-59774.230833333335</v>
      </c>
      <c r="BZ46" s="19">
        <f t="shared" si="133"/>
        <v>-59774.230833333335</v>
      </c>
      <c r="CA46" s="19">
        <f t="shared" si="133"/>
        <v>-60470.844295833333</v>
      </c>
      <c r="CB46" s="19">
        <f t="shared" si="133"/>
        <v>-60470.844295833333</v>
      </c>
      <c r="CC46" s="19">
        <f t="shared" si="133"/>
        <v>-60470.844295833333</v>
      </c>
      <c r="CD46" s="19">
        <f t="shared" si="133"/>
        <v>-60470.844295833333</v>
      </c>
      <c r="CE46" s="19">
        <f t="shared" si="133"/>
        <v>-60470.844295833333</v>
      </c>
      <c r="CF46" s="19">
        <f t="shared" si="133"/>
        <v>-61167.457758333338</v>
      </c>
      <c r="CG46" s="19">
        <f t="shared" si="133"/>
        <v>-61167.457758333338</v>
      </c>
      <c r="CH46" s="19">
        <f t="shared" si="133"/>
        <v>-61167.457758333338</v>
      </c>
      <c r="CI46" s="19">
        <f t="shared" si="133"/>
        <v>-61167.457758333338</v>
      </c>
      <c r="CJ46" s="19">
        <f t="shared" si="133"/>
        <v>-61167.457758333338</v>
      </c>
      <c r="CK46" s="19">
        <f t="shared" si="133"/>
        <v>-61167.457758333338</v>
      </c>
      <c r="CL46" s="19">
        <f t="shared" si="133"/>
        <v>-61167.457758333338</v>
      </c>
      <c r="CM46" s="19">
        <f t="shared" si="133"/>
        <v>-61884.969624708341</v>
      </c>
      <c r="CN46" s="19">
        <f t="shared" si="133"/>
        <v>-61884.969624708341</v>
      </c>
      <c r="CO46" s="19">
        <f t="shared" si="133"/>
        <v>-61884.969624708341</v>
      </c>
      <c r="CP46" s="19">
        <f t="shared" si="133"/>
        <v>-61884.969624708341</v>
      </c>
      <c r="CQ46" s="19">
        <f t="shared" si="133"/>
        <v>-61884.969624708341</v>
      </c>
      <c r="CR46" s="19">
        <f t="shared" si="133"/>
        <v>-62602.48149108333</v>
      </c>
    </row>
    <row r="47" spans="2:96" x14ac:dyDescent="0.3">
      <c r="B47" s="49" t="s">
        <v>84</v>
      </c>
      <c r="C47" s="1"/>
      <c r="D47" s="1"/>
      <c r="E47" s="1"/>
      <c r="F47" s="1"/>
      <c r="G47" s="22">
        <f>G45+G46</f>
        <v>0</v>
      </c>
      <c r="H47" s="22">
        <f t="shared" ref="H47:BS47" si="134">H45+H46</f>
        <v>0</v>
      </c>
      <c r="I47" s="22">
        <f t="shared" si="134"/>
        <v>0</v>
      </c>
      <c r="J47" s="22">
        <f t="shared" si="134"/>
        <v>0</v>
      </c>
      <c r="K47" s="22">
        <f t="shared" si="134"/>
        <v>0</v>
      </c>
      <c r="L47" s="22">
        <f t="shared" si="134"/>
        <v>0</v>
      </c>
      <c r="M47" s="22">
        <f t="shared" si="134"/>
        <v>0</v>
      </c>
      <c r="N47" s="22">
        <f t="shared" si="134"/>
        <v>0</v>
      </c>
      <c r="O47" s="22">
        <f t="shared" si="134"/>
        <v>0</v>
      </c>
      <c r="P47" s="22">
        <f t="shared" si="134"/>
        <v>0</v>
      </c>
      <c r="Q47" s="22">
        <f t="shared" si="134"/>
        <v>0</v>
      </c>
      <c r="R47" s="22">
        <f t="shared" si="134"/>
        <v>0</v>
      </c>
      <c r="S47" s="22">
        <f t="shared" si="134"/>
        <v>0</v>
      </c>
      <c r="T47" s="22">
        <f t="shared" si="134"/>
        <v>0</v>
      </c>
      <c r="U47" s="22">
        <f t="shared" si="134"/>
        <v>0</v>
      </c>
      <c r="V47" s="22">
        <f t="shared" si="134"/>
        <v>0</v>
      </c>
      <c r="W47" s="22">
        <f t="shared" si="134"/>
        <v>0</v>
      </c>
      <c r="X47" s="22">
        <f t="shared" si="134"/>
        <v>0</v>
      </c>
      <c r="Y47" s="22">
        <f t="shared" si="134"/>
        <v>0</v>
      </c>
      <c r="Z47" s="22">
        <f t="shared" si="134"/>
        <v>0</v>
      </c>
      <c r="AA47" s="22">
        <f t="shared" si="134"/>
        <v>0</v>
      </c>
      <c r="AB47" s="22">
        <f t="shared" si="134"/>
        <v>0</v>
      </c>
      <c r="AC47" s="22">
        <f t="shared" si="134"/>
        <v>0</v>
      </c>
      <c r="AD47" s="22">
        <f t="shared" si="134"/>
        <v>0</v>
      </c>
      <c r="AE47" s="22">
        <f t="shared" si="134"/>
        <v>133333.33333333334</v>
      </c>
      <c r="AF47" s="22">
        <f t="shared" si="134"/>
        <v>133333.33333333334</v>
      </c>
      <c r="AG47" s="22">
        <f t="shared" si="134"/>
        <v>133333.33333333334</v>
      </c>
      <c r="AH47" s="22">
        <f t="shared" si="134"/>
        <v>558333.33333333337</v>
      </c>
      <c r="AI47" s="22">
        <f t="shared" si="134"/>
        <v>558333.33333333337</v>
      </c>
      <c r="AJ47" s="22">
        <f t="shared" si="134"/>
        <v>657083.33333333337</v>
      </c>
      <c r="AK47" s="22">
        <f t="shared" si="134"/>
        <v>657083.33333333337</v>
      </c>
      <c r="AL47" s="22">
        <f t="shared" si="134"/>
        <v>657083.33333333337</v>
      </c>
      <c r="AM47" s="22">
        <f t="shared" si="134"/>
        <v>1060833.3333333335</v>
      </c>
      <c r="AN47" s="22">
        <f t="shared" si="134"/>
        <v>1060833.3333333335</v>
      </c>
      <c r="AO47" s="22">
        <f t="shared" si="134"/>
        <v>1060833.3333333335</v>
      </c>
      <c r="AP47" s="22">
        <f t="shared" si="134"/>
        <v>1060833.3333333335</v>
      </c>
      <c r="AQ47" s="22">
        <f t="shared" si="134"/>
        <v>1072945.8333333335</v>
      </c>
      <c r="AR47" s="22">
        <f t="shared" si="134"/>
        <v>1072945.8333333335</v>
      </c>
      <c r="AS47" s="22">
        <f t="shared" si="134"/>
        <v>1072945.8333333335</v>
      </c>
      <c r="AT47" s="22">
        <f t="shared" si="134"/>
        <v>1072945.8333333335</v>
      </c>
      <c r="AU47" s="22">
        <f t="shared" si="134"/>
        <v>1072945.8333333335</v>
      </c>
      <c r="AV47" s="22">
        <f t="shared" si="134"/>
        <v>1085058.3333333335</v>
      </c>
      <c r="AW47" s="22">
        <f t="shared" si="134"/>
        <v>1085058.3333333335</v>
      </c>
      <c r="AX47" s="22">
        <f t="shared" si="134"/>
        <v>1085058.3333333335</v>
      </c>
      <c r="AY47" s="22">
        <f t="shared" si="134"/>
        <v>1085058.3333333335</v>
      </c>
      <c r="AZ47" s="22">
        <f t="shared" si="134"/>
        <v>1085058.3333333335</v>
      </c>
      <c r="BA47" s="22">
        <f t="shared" si="134"/>
        <v>1085058.3333333335</v>
      </c>
      <c r="BB47" s="22">
        <f t="shared" si="134"/>
        <v>1085058.3333333335</v>
      </c>
      <c r="BC47" s="22">
        <f t="shared" si="134"/>
        <v>1097534.2083333335</v>
      </c>
      <c r="BD47" s="22">
        <f t="shared" si="134"/>
        <v>1097534.2083333335</v>
      </c>
      <c r="BE47" s="22">
        <f t="shared" si="134"/>
        <v>1097534.2083333335</v>
      </c>
      <c r="BF47" s="22">
        <f t="shared" si="134"/>
        <v>1097534.2083333335</v>
      </c>
      <c r="BG47" s="22">
        <f t="shared" si="134"/>
        <v>1097534.2083333335</v>
      </c>
      <c r="BH47" s="22">
        <f t="shared" si="134"/>
        <v>1110010.0833333335</v>
      </c>
      <c r="BI47" s="22">
        <f t="shared" si="134"/>
        <v>1110010.0833333335</v>
      </c>
      <c r="BJ47" s="22">
        <f t="shared" si="134"/>
        <v>1110010.0833333335</v>
      </c>
      <c r="BK47" s="22">
        <f t="shared" si="134"/>
        <v>1110010.0833333335</v>
      </c>
      <c r="BL47" s="22">
        <f t="shared" si="134"/>
        <v>1110010.0833333335</v>
      </c>
      <c r="BM47" s="22">
        <f t="shared" si="134"/>
        <v>1110010.0833333335</v>
      </c>
      <c r="BN47" s="22">
        <f t="shared" si="134"/>
        <v>1110010.0833333335</v>
      </c>
      <c r="BO47" s="22">
        <f t="shared" si="134"/>
        <v>1122860.2345833334</v>
      </c>
      <c r="BP47" s="22">
        <f t="shared" si="134"/>
        <v>1122860.2345833334</v>
      </c>
      <c r="BQ47" s="22">
        <f t="shared" si="134"/>
        <v>1122860.2345833334</v>
      </c>
      <c r="BR47" s="22">
        <f t="shared" si="134"/>
        <v>1122860.2345833334</v>
      </c>
      <c r="BS47" s="22">
        <f t="shared" si="134"/>
        <v>1122860.2345833334</v>
      </c>
      <c r="BT47" s="22">
        <f t="shared" ref="BT47:CR47" si="135">BT45+BT46</f>
        <v>1135710.3858333332</v>
      </c>
      <c r="BU47" s="22">
        <f t="shared" si="135"/>
        <v>1135710.3858333332</v>
      </c>
      <c r="BV47" s="22">
        <f t="shared" si="135"/>
        <v>1135710.3858333332</v>
      </c>
      <c r="BW47" s="22">
        <f t="shared" si="135"/>
        <v>1135710.3858333332</v>
      </c>
      <c r="BX47" s="22">
        <f t="shared" si="135"/>
        <v>1135710.3858333332</v>
      </c>
      <c r="BY47" s="22">
        <f t="shared" si="135"/>
        <v>1135710.3858333332</v>
      </c>
      <c r="BZ47" s="22">
        <f t="shared" si="135"/>
        <v>1135710.3858333332</v>
      </c>
      <c r="CA47" s="22">
        <f t="shared" si="135"/>
        <v>1148946.0416208333</v>
      </c>
      <c r="CB47" s="22">
        <f t="shared" si="135"/>
        <v>1148946.0416208333</v>
      </c>
      <c r="CC47" s="22">
        <f t="shared" si="135"/>
        <v>1148946.0416208333</v>
      </c>
      <c r="CD47" s="22">
        <f t="shared" si="135"/>
        <v>1148946.0416208333</v>
      </c>
      <c r="CE47" s="22">
        <f t="shared" si="135"/>
        <v>1148946.0416208333</v>
      </c>
      <c r="CF47" s="22">
        <f t="shared" si="135"/>
        <v>1162181.6974083334</v>
      </c>
      <c r="CG47" s="22">
        <f t="shared" si="135"/>
        <v>1162181.6974083334</v>
      </c>
      <c r="CH47" s="22">
        <f t="shared" si="135"/>
        <v>1162181.6974083334</v>
      </c>
      <c r="CI47" s="22">
        <f t="shared" si="135"/>
        <v>1162181.6974083334</v>
      </c>
      <c r="CJ47" s="22">
        <f t="shared" si="135"/>
        <v>1162181.6974083334</v>
      </c>
      <c r="CK47" s="22">
        <f t="shared" si="135"/>
        <v>1162181.6974083334</v>
      </c>
      <c r="CL47" s="22">
        <f t="shared" si="135"/>
        <v>1162181.6974083334</v>
      </c>
      <c r="CM47" s="22">
        <f t="shared" si="135"/>
        <v>1175814.4228694583</v>
      </c>
      <c r="CN47" s="22">
        <f t="shared" si="135"/>
        <v>1175814.4228694583</v>
      </c>
      <c r="CO47" s="22">
        <f t="shared" si="135"/>
        <v>1175814.4228694583</v>
      </c>
      <c r="CP47" s="22">
        <f t="shared" si="135"/>
        <v>1175814.4228694583</v>
      </c>
      <c r="CQ47" s="22">
        <f t="shared" si="135"/>
        <v>1175814.4228694583</v>
      </c>
      <c r="CR47" s="22">
        <f t="shared" si="135"/>
        <v>1189447.1483305832</v>
      </c>
    </row>
    <row r="48" spans="2:96" x14ac:dyDescent="0.3">
      <c r="C48" s="11" t="s">
        <v>76</v>
      </c>
      <c r="D48" s="11" t="s">
        <v>77</v>
      </c>
      <c r="E48" s="11" t="s">
        <v>78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</row>
    <row r="49" spans="2:97" x14ac:dyDescent="0.3">
      <c r="B49" s="10" t="s">
        <v>85</v>
      </c>
      <c r="C49" s="53">
        <f>D32</f>
        <v>25</v>
      </c>
      <c r="D49" s="11">
        <f>16*C9</f>
        <v>3200000</v>
      </c>
      <c r="E49" s="72">
        <v>0</v>
      </c>
      <c r="G49" s="19">
        <f>(G$7&gt;=$C49)*$D49/12*(1+$E49)^(G$33-1)</f>
        <v>0</v>
      </c>
      <c r="H49" s="19">
        <f t="shared" ref="H49:BS49" si="136">(H$7&gt;=$C49)*$D49/12*(1+$E49)^(H$33-1)</f>
        <v>0</v>
      </c>
      <c r="I49" s="19">
        <f t="shared" si="136"/>
        <v>0</v>
      </c>
      <c r="J49" s="19">
        <f t="shared" si="136"/>
        <v>0</v>
      </c>
      <c r="K49" s="19">
        <f t="shared" si="136"/>
        <v>0</v>
      </c>
      <c r="L49" s="19">
        <f t="shared" si="136"/>
        <v>0</v>
      </c>
      <c r="M49" s="19">
        <f t="shared" si="136"/>
        <v>0</v>
      </c>
      <c r="N49" s="19">
        <f t="shared" si="136"/>
        <v>0</v>
      </c>
      <c r="O49" s="19">
        <f t="shared" si="136"/>
        <v>0</v>
      </c>
      <c r="P49" s="19">
        <f t="shared" si="136"/>
        <v>0</v>
      </c>
      <c r="Q49" s="19">
        <f t="shared" si="136"/>
        <v>0</v>
      </c>
      <c r="R49" s="19">
        <f t="shared" si="136"/>
        <v>0</v>
      </c>
      <c r="S49" s="19">
        <f t="shared" si="136"/>
        <v>0</v>
      </c>
      <c r="T49" s="19">
        <f t="shared" si="136"/>
        <v>0</v>
      </c>
      <c r="U49" s="19">
        <f t="shared" si="136"/>
        <v>0</v>
      </c>
      <c r="V49" s="19">
        <f t="shared" si="136"/>
        <v>0</v>
      </c>
      <c r="W49" s="19">
        <f t="shared" si="136"/>
        <v>0</v>
      </c>
      <c r="X49" s="19">
        <f t="shared" si="136"/>
        <v>0</v>
      </c>
      <c r="Y49" s="19">
        <f t="shared" si="136"/>
        <v>0</v>
      </c>
      <c r="Z49" s="19">
        <f t="shared" si="136"/>
        <v>0</v>
      </c>
      <c r="AA49" s="19">
        <f t="shared" si="136"/>
        <v>0</v>
      </c>
      <c r="AB49" s="19">
        <f t="shared" si="136"/>
        <v>0</v>
      </c>
      <c r="AC49" s="19">
        <f t="shared" si="136"/>
        <v>0</v>
      </c>
      <c r="AD49" s="19">
        <f t="shared" si="136"/>
        <v>0</v>
      </c>
      <c r="AE49" s="19">
        <f t="shared" si="136"/>
        <v>266666.66666666669</v>
      </c>
      <c r="AF49" s="19">
        <f t="shared" si="136"/>
        <v>266666.66666666669</v>
      </c>
      <c r="AG49" s="19">
        <f t="shared" si="136"/>
        <v>266666.66666666669</v>
      </c>
      <c r="AH49" s="19">
        <f t="shared" si="136"/>
        <v>266666.66666666669</v>
      </c>
      <c r="AI49" s="19">
        <f t="shared" si="136"/>
        <v>266666.66666666669</v>
      </c>
      <c r="AJ49" s="19">
        <f t="shared" si="136"/>
        <v>266666.66666666669</v>
      </c>
      <c r="AK49" s="19">
        <f t="shared" si="136"/>
        <v>266666.66666666669</v>
      </c>
      <c r="AL49" s="19">
        <f t="shared" si="136"/>
        <v>266666.66666666669</v>
      </c>
      <c r="AM49" s="19">
        <f t="shared" si="136"/>
        <v>266666.66666666669</v>
      </c>
      <c r="AN49" s="19">
        <f t="shared" si="136"/>
        <v>266666.66666666669</v>
      </c>
      <c r="AO49" s="19">
        <f t="shared" si="136"/>
        <v>266666.66666666669</v>
      </c>
      <c r="AP49" s="19">
        <f t="shared" si="136"/>
        <v>266666.66666666669</v>
      </c>
      <c r="AQ49" s="19">
        <f t="shared" si="136"/>
        <v>266666.66666666669</v>
      </c>
      <c r="AR49" s="19">
        <f t="shared" si="136"/>
        <v>266666.66666666669</v>
      </c>
      <c r="AS49" s="19">
        <f t="shared" si="136"/>
        <v>266666.66666666669</v>
      </c>
      <c r="AT49" s="19">
        <f t="shared" si="136"/>
        <v>266666.66666666669</v>
      </c>
      <c r="AU49" s="19">
        <f t="shared" si="136"/>
        <v>266666.66666666669</v>
      </c>
      <c r="AV49" s="19">
        <f t="shared" si="136"/>
        <v>266666.66666666669</v>
      </c>
      <c r="AW49" s="19">
        <f t="shared" si="136"/>
        <v>266666.66666666669</v>
      </c>
      <c r="AX49" s="19">
        <f t="shared" si="136"/>
        <v>266666.66666666669</v>
      </c>
      <c r="AY49" s="19">
        <f t="shared" si="136"/>
        <v>266666.66666666669</v>
      </c>
      <c r="AZ49" s="19">
        <f t="shared" si="136"/>
        <v>266666.66666666669</v>
      </c>
      <c r="BA49" s="19">
        <f t="shared" si="136"/>
        <v>266666.66666666669</v>
      </c>
      <c r="BB49" s="19">
        <f t="shared" si="136"/>
        <v>266666.66666666669</v>
      </c>
      <c r="BC49" s="19">
        <f t="shared" si="136"/>
        <v>266666.66666666669</v>
      </c>
      <c r="BD49" s="19">
        <f t="shared" si="136"/>
        <v>266666.66666666669</v>
      </c>
      <c r="BE49" s="19">
        <f t="shared" si="136"/>
        <v>266666.66666666669</v>
      </c>
      <c r="BF49" s="19">
        <f t="shared" si="136"/>
        <v>266666.66666666669</v>
      </c>
      <c r="BG49" s="19">
        <f t="shared" si="136"/>
        <v>266666.66666666669</v>
      </c>
      <c r="BH49" s="19">
        <f t="shared" si="136"/>
        <v>266666.66666666669</v>
      </c>
      <c r="BI49" s="19">
        <f t="shared" si="136"/>
        <v>266666.66666666669</v>
      </c>
      <c r="BJ49" s="19">
        <f t="shared" si="136"/>
        <v>266666.66666666669</v>
      </c>
      <c r="BK49" s="19">
        <f t="shared" si="136"/>
        <v>266666.66666666669</v>
      </c>
      <c r="BL49" s="19">
        <f t="shared" si="136"/>
        <v>266666.66666666669</v>
      </c>
      <c r="BM49" s="19">
        <f t="shared" si="136"/>
        <v>266666.66666666669</v>
      </c>
      <c r="BN49" s="19">
        <f t="shared" si="136"/>
        <v>266666.66666666669</v>
      </c>
      <c r="BO49" s="19">
        <f t="shared" si="136"/>
        <v>266666.66666666669</v>
      </c>
      <c r="BP49" s="19">
        <f t="shared" si="136"/>
        <v>266666.66666666669</v>
      </c>
      <c r="BQ49" s="19">
        <f t="shared" si="136"/>
        <v>266666.66666666669</v>
      </c>
      <c r="BR49" s="19">
        <f t="shared" si="136"/>
        <v>266666.66666666669</v>
      </c>
      <c r="BS49" s="19">
        <f t="shared" si="136"/>
        <v>266666.66666666669</v>
      </c>
      <c r="BT49" s="19">
        <f t="shared" ref="BT49:CR49" si="137">(BT$7&gt;=$C49)*$D49/12*(1+$E49)^(BT$33-1)</f>
        <v>266666.66666666669</v>
      </c>
      <c r="BU49" s="19">
        <f t="shared" si="137"/>
        <v>266666.66666666669</v>
      </c>
      <c r="BV49" s="19">
        <f t="shared" si="137"/>
        <v>266666.66666666669</v>
      </c>
      <c r="BW49" s="19">
        <f t="shared" si="137"/>
        <v>266666.66666666669</v>
      </c>
      <c r="BX49" s="19">
        <f t="shared" si="137"/>
        <v>266666.66666666669</v>
      </c>
      <c r="BY49" s="19">
        <f t="shared" si="137"/>
        <v>266666.66666666669</v>
      </c>
      <c r="BZ49" s="19">
        <f t="shared" si="137"/>
        <v>266666.66666666669</v>
      </c>
      <c r="CA49" s="19">
        <f t="shared" si="137"/>
        <v>266666.66666666669</v>
      </c>
      <c r="CB49" s="19">
        <f t="shared" si="137"/>
        <v>266666.66666666669</v>
      </c>
      <c r="CC49" s="19">
        <f t="shared" si="137"/>
        <v>266666.66666666669</v>
      </c>
      <c r="CD49" s="19">
        <f t="shared" si="137"/>
        <v>266666.66666666669</v>
      </c>
      <c r="CE49" s="19">
        <f t="shared" si="137"/>
        <v>266666.66666666669</v>
      </c>
      <c r="CF49" s="19">
        <f t="shared" si="137"/>
        <v>266666.66666666669</v>
      </c>
      <c r="CG49" s="19">
        <f t="shared" si="137"/>
        <v>266666.66666666669</v>
      </c>
      <c r="CH49" s="19">
        <f t="shared" si="137"/>
        <v>266666.66666666669</v>
      </c>
      <c r="CI49" s="19">
        <f t="shared" si="137"/>
        <v>266666.66666666669</v>
      </c>
      <c r="CJ49" s="19">
        <f t="shared" si="137"/>
        <v>266666.66666666669</v>
      </c>
      <c r="CK49" s="19">
        <f t="shared" si="137"/>
        <v>266666.66666666669</v>
      </c>
      <c r="CL49" s="19">
        <f t="shared" si="137"/>
        <v>266666.66666666669</v>
      </c>
      <c r="CM49" s="19">
        <f t="shared" si="137"/>
        <v>266666.66666666669</v>
      </c>
      <c r="CN49" s="19">
        <f t="shared" si="137"/>
        <v>266666.66666666669</v>
      </c>
      <c r="CO49" s="19">
        <f t="shared" si="137"/>
        <v>266666.66666666669</v>
      </c>
      <c r="CP49" s="19">
        <f t="shared" si="137"/>
        <v>266666.66666666669</v>
      </c>
      <c r="CQ49" s="19">
        <f t="shared" si="137"/>
        <v>266666.66666666669</v>
      </c>
      <c r="CR49" s="19">
        <f t="shared" si="137"/>
        <v>266666.66666666669</v>
      </c>
    </row>
    <row r="50" spans="2:97" x14ac:dyDescent="0.3">
      <c r="B50" s="49" t="s">
        <v>86</v>
      </c>
      <c r="C50" s="1"/>
      <c r="D50" s="1"/>
      <c r="E50" s="1"/>
      <c r="F50" s="1"/>
      <c r="G50" s="22">
        <f>SUM(G47)-G49</f>
        <v>0</v>
      </c>
      <c r="H50" s="22">
        <f t="shared" ref="H50:BS50" si="138">H47-H49</f>
        <v>0</v>
      </c>
      <c r="I50" s="22">
        <f t="shared" si="138"/>
        <v>0</v>
      </c>
      <c r="J50" s="22">
        <f t="shared" si="138"/>
        <v>0</v>
      </c>
      <c r="K50" s="22">
        <f t="shared" si="138"/>
        <v>0</v>
      </c>
      <c r="L50" s="22">
        <f t="shared" si="138"/>
        <v>0</v>
      </c>
      <c r="M50" s="22">
        <f t="shared" si="138"/>
        <v>0</v>
      </c>
      <c r="N50" s="22">
        <f t="shared" si="138"/>
        <v>0</v>
      </c>
      <c r="O50" s="22">
        <f t="shared" si="138"/>
        <v>0</v>
      </c>
      <c r="P50" s="22">
        <f t="shared" si="138"/>
        <v>0</v>
      </c>
      <c r="Q50" s="22">
        <f t="shared" si="138"/>
        <v>0</v>
      </c>
      <c r="R50" s="22">
        <f t="shared" si="138"/>
        <v>0</v>
      </c>
      <c r="S50" s="22">
        <f t="shared" si="138"/>
        <v>0</v>
      </c>
      <c r="T50" s="22">
        <f t="shared" si="138"/>
        <v>0</v>
      </c>
      <c r="U50" s="22">
        <f t="shared" si="138"/>
        <v>0</v>
      </c>
      <c r="V50" s="22">
        <f t="shared" si="138"/>
        <v>0</v>
      </c>
      <c r="W50" s="22">
        <f t="shared" si="138"/>
        <v>0</v>
      </c>
      <c r="X50" s="22">
        <f t="shared" si="138"/>
        <v>0</v>
      </c>
      <c r="Y50" s="22">
        <f t="shared" si="138"/>
        <v>0</v>
      </c>
      <c r="Z50" s="22">
        <f t="shared" si="138"/>
        <v>0</v>
      </c>
      <c r="AA50" s="22">
        <f t="shared" si="138"/>
        <v>0</v>
      </c>
      <c r="AB50" s="22">
        <f t="shared" si="138"/>
        <v>0</v>
      </c>
      <c r="AC50" s="22">
        <f t="shared" si="138"/>
        <v>0</v>
      </c>
      <c r="AD50" s="22">
        <f t="shared" si="138"/>
        <v>0</v>
      </c>
      <c r="AE50" s="22">
        <f t="shared" si="138"/>
        <v>-133333.33333333334</v>
      </c>
      <c r="AF50" s="22">
        <f t="shared" si="138"/>
        <v>-133333.33333333334</v>
      </c>
      <c r="AG50" s="22">
        <f t="shared" si="138"/>
        <v>-133333.33333333334</v>
      </c>
      <c r="AH50" s="22">
        <f t="shared" si="138"/>
        <v>291666.66666666669</v>
      </c>
      <c r="AI50" s="22">
        <f t="shared" si="138"/>
        <v>291666.66666666669</v>
      </c>
      <c r="AJ50" s="22">
        <f t="shared" si="138"/>
        <v>390416.66666666669</v>
      </c>
      <c r="AK50" s="22">
        <f t="shared" si="138"/>
        <v>390416.66666666669</v>
      </c>
      <c r="AL50" s="22">
        <f t="shared" si="138"/>
        <v>390416.66666666669</v>
      </c>
      <c r="AM50" s="22">
        <f t="shared" si="138"/>
        <v>794166.66666666674</v>
      </c>
      <c r="AN50" s="22">
        <f t="shared" si="138"/>
        <v>794166.66666666674</v>
      </c>
      <c r="AO50" s="22">
        <f t="shared" si="138"/>
        <v>794166.66666666674</v>
      </c>
      <c r="AP50" s="22">
        <f t="shared" si="138"/>
        <v>794166.66666666674</v>
      </c>
      <c r="AQ50" s="22">
        <f t="shared" si="138"/>
        <v>806279.16666666674</v>
      </c>
      <c r="AR50" s="22">
        <f t="shared" si="138"/>
        <v>806279.16666666674</v>
      </c>
      <c r="AS50" s="22">
        <f t="shared" si="138"/>
        <v>806279.16666666674</v>
      </c>
      <c r="AT50" s="22">
        <f t="shared" si="138"/>
        <v>806279.16666666674</v>
      </c>
      <c r="AU50" s="22">
        <f t="shared" si="138"/>
        <v>806279.16666666674</v>
      </c>
      <c r="AV50" s="22">
        <f t="shared" si="138"/>
        <v>818391.66666666674</v>
      </c>
      <c r="AW50" s="22">
        <f t="shared" si="138"/>
        <v>818391.66666666674</v>
      </c>
      <c r="AX50" s="22">
        <f t="shared" si="138"/>
        <v>818391.66666666674</v>
      </c>
      <c r="AY50" s="22">
        <f t="shared" si="138"/>
        <v>818391.66666666674</v>
      </c>
      <c r="AZ50" s="22">
        <f t="shared" si="138"/>
        <v>818391.66666666674</v>
      </c>
      <c r="BA50" s="22">
        <f t="shared" si="138"/>
        <v>818391.66666666674</v>
      </c>
      <c r="BB50" s="22">
        <f t="shared" si="138"/>
        <v>818391.66666666674</v>
      </c>
      <c r="BC50" s="22">
        <f t="shared" si="138"/>
        <v>830867.54166666674</v>
      </c>
      <c r="BD50" s="22">
        <f t="shared" si="138"/>
        <v>830867.54166666674</v>
      </c>
      <c r="BE50" s="22">
        <f t="shared" si="138"/>
        <v>830867.54166666674</v>
      </c>
      <c r="BF50" s="22">
        <f t="shared" si="138"/>
        <v>830867.54166666674</v>
      </c>
      <c r="BG50" s="22">
        <f t="shared" si="138"/>
        <v>830867.54166666674</v>
      </c>
      <c r="BH50" s="22">
        <f t="shared" si="138"/>
        <v>843343.41666666674</v>
      </c>
      <c r="BI50" s="22">
        <f t="shared" si="138"/>
        <v>843343.41666666674</v>
      </c>
      <c r="BJ50" s="22">
        <f t="shared" si="138"/>
        <v>843343.41666666674</v>
      </c>
      <c r="BK50" s="22">
        <f t="shared" si="138"/>
        <v>843343.41666666674</v>
      </c>
      <c r="BL50" s="22">
        <f t="shared" si="138"/>
        <v>843343.41666666674</v>
      </c>
      <c r="BM50" s="22">
        <f t="shared" si="138"/>
        <v>843343.41666666674</v>
      </c>
      <c r="BN50" s="22">
        <f t="shared" si="138"/>
        <v>843343.41666666674</v>
      </c>
      <c r="BO50" s="22">
        <f t="shared" si="138"/>
        <v>856193.56791666662</v>
      </c>
      <c r="BP50" s="22">
        <f t="shared" si="138"/>
        <v>856193.56791666662</v>
      </c>
      <c r="BQ50" s="22">
        <f t="shared" si="138"/>
        <v>856193.56791666662</v>
      </c>
      <c r="BR50" s="22">
        <f t="shared" si="138"/>
        <v>856193.56791666662</v>
      </c>
      <c r="BS50" s="22">
        <f t="shared" si="138"/>
        <v>856193.56791666662</v>
      </c>
      <c r="BT50" s="22">
        <f t="shared" ref="BT50:CR50" si="139">BT47-BT49</f>
        <v>869043.7191666665</v>
      </c>
      <c r="BU50" s="22">
        <f t="shared" si="139"/>
        <v>869043.7191666665</v>
      </c>
      <c r="BV50" s="22">
        <f t="shared" si="139"/>
        <v>869043.7191666665</v>
      </c>
      <c r="BW50" s="22">
        <f t="shared" si="139"/>
        <v>869043.7191666665</v>
      </c>
      <c r="BX50" s="22">
        <f t="shared" si="139"/>
        <v>869043.7191666665</v>
      </c>
      <c r="BY50" s="22">
        <f t="shared" si="139"/>
        <v>869043.7191666665</v>
      </c>
      <c r="BZ50" s="22">
        <f t="shared" si="139"/>
        <v>869043.7191666665</v>
      </c>
      <c r="CA50" s="22">
        <f t="shared" si="139"/>
        <v>882279.37495416659</v>
      </c>
      <c r="CB50" s="22">
        <f t="shared" si="139"/>
        <v>882279.37495416659</v>
      </c>
      <c r="CC50" s="22">
        <f t="shared" si="139"/>
        <v>882279.37495416659</v>
      </c>
      <c r="CD50" s="22">
        <f t="shared" si="139"/>
        <v>882279.37495416659</v>
      </c>
      <c r="CE50" s="22">
        <f t="shared" si="139"/>
        <v>882279.37495416659</v>
      </c>
      <c r="CF50" s="22">
        <f t="shared" si="139"/>
        <v>895515.03074166668</v>
      </c>
      <c r="CG50" s="22">
        <f t="shared" si="139"/>
        <v>895515.03074166668</v>
      </c>
      <c r="CH50" s="22">
        <f t="shared" si="139"/>
        <v>895515.03074166668</v>
      </c>
      <c r="CI50" s="22">
        <f t="shared" si="139"/>
        <v>895515.03074166668</v>
      </c>
      <c r="CJ50" s="22">
        <f t="shared" si="139"/>
        <v>895515.03074166668</v>
      </c>
      <c r="CK50" s="22">
        <f t="shared" si="139"/>
        <v>895515.03074166668</v>
      </c>
      <c r="CL50" s="22">
        <f t="shared" si="139"/>
        <v>895515.03074166668</v>
      </c>
      <c r="CM50" s="22">
        <f t="shared" si="139"/>
        <v>909147.75620279158</v>
      </c>
      <c r="CN50" s="22">
        <f t="shared" si="139"/>
        <v>909147.75620279158</v>
      </c>
      <c r="CO50" s="22">
        <f t="shared" si="139"/>
        <v>909147.75620279158</v>
      </c>
      <c r="CP50" s="22">
        <f t="shared" si="139"/>
        <v>909147.75620279158</v>
      </c>
      <c r="CQ50" s="22">
        <f t="shared" si="139"/>
        <v>909147.75620279158</v>
      </c>
      <c r="CR50" s="22">
        <f t="shared" si="139"/>
        <v>922780.48166391649</v>
      </c>
    </row>
    <row r="51" spans="2:97" x14ac:dyDescent="0.3">
      <c r="B51" s="10" t="s">
        <v>87</v>
      </c>
      <c r="C51" s="53">
        <f>D9</f>
        <v>28</v>
      </c>
      <c r="D51" s="73">
        <v>0</v>
      </c>
      <c r="E51" s="72">
        <v>0</v>
      </c>
      <c r="G51" s="19">
        <f>(G$7&gt;=$C51)*$D51/12*(1+$E51)^(G$33-1)</f>
        <v>0</v>
      </c>
      <c r="H51" s="19">
        <f t="shared" ref="H51:BS51" si="140">(H$7&gt;=$C51)*$D51/12*(1+$E51)^(H$33-1)</f>
        <v>0</v>
      </c>
      <c r="I51" s="19">
        <f t="shared" si="140"/>
        <v>0</v>
      </c>
      <c r="J51" s="19">
        <f t="shared" si="140"/>
        <v>0</v>
      </c>
      <c r="K51" s="19">
        <f t="shared" si="140"/>
        <v>0</v>
      </c>
      <c r="L51" s="19">
        <f t="shared" si="140"/>
        <v>0</v>
      </c>
      <c r="M51" s="19">
        <f t="shared" si="140"/>
        <v>0</v>
      </c>
      <c r="N51" s="19">
        <f t="shared" si="140"/>
        <v>0</v>
      </c>
      <c r="O51" s="19">
        <f t="shared" si="140"/>
        <v>0</v>
      </c>
      <c r="P51" s="19">
        <f t="shared" si="140"/>
        <v>0</v>
      </c>
      <c r="Q51" s="19">
        <f t="shared" si="140"/>
        <v>0</v>
      </c>
      <c r="R51" s="19">
        <f t="shared" si="140"/>
        <v>0</v>
      </c>
      <c r="S51" s="19">
        <f t="shared" si="140"/>
        <v>0</v>
      </c>
      <c r="T51" s="19">
        <f t="shared" si="140"/>
        <v>0</v>
      </c>
      <c r="U51" s="19">
        <f t="shared" si="140"/>
        <v>0</v>
      </c>
      <c r="V51" s="19">
        <f t="shared" si="140"/>
        <v>0</v>
      </c>
      <c r="W51" s="19">
        <f t="shared" si="140"/>
        <v>0</v>
      </c>
      <c r="X51" s="19">
        <f t="shared" si="140"/>
        <v>0</v>
      </c>
      <c r="Y51" s="19">
        <f t="shared" si="140"/>
        <v>0</v>
      </c>
      <c r="Z51" s="19">
        <f t="shared" si="140"/>
        <v>0</v>
      </c>
      <c r="AA51" s="19">
        <f t="shared" si="140"/>
        <v>0</v>
      </c>
      <c r="AB51" s="19">
        <f t="shared" si="140"/>
        <v>0</v>
      </c>
      <c r="AC51" s="19">
        <f t="shared" si="140"/>
        <v>0</v>
      </c>
      <c r="AD51" s="19">
        <f t="shared" si="140"/>
        <v>0</v>
      </c>
      <c r="AE51" s="19">
        <f t="shared" si="140"/>
        <v>0</v>
      </c>
      <c r="AF51" s="19">
        <f t="shared" si="140"/>
        <v>0</v>
      </c>
      <c r="AG51" s="19">
        <f t="shared" si="140"/>
        <v>0</v>
      </c>
      <c r="AH51" s="19">
        <f t="shared" si="140"/>
        <v>0</v>
      </c>
      <c r="AI51" s="19">
        <f t="shared" si="140"/>
        <v>0</v>
      </c>
      <c r="AJ51" s="19">
        <f t="shared" si="140"/>
        <v>0</v>
      </c>
      <c r="AK51" s="19">
        <f t="shared" si="140"/>
        <v>0</v>
      </c>
      <c r="AL51" s="19">
        <f t="shared" si="140"/>
        <v>0</v>
      </c>
      <c r="AM51" s="19">
        <f t="shared" si="140"/>
        <v>0</v>
      </c>
      <c r="AN51" s="19">
        <f t="shared" si="140"/>
        <v>0</v>
      </c>
      <c r="AO51" s="19">
        <f t="shared" si="140"/>
        <v>0</v>
      </c>
      <c r="AP51" s="19">
        <f t="shared" si="140"/>
        <v>0</v>
      </c>
      <c r="AQ51" s="19">
        <f t="shared" si="140"/>
        <v>0</v>
      </c>
      <c r="AR51" s="19">
        <f t="shared" si="140"/>
        <v>0</v>
      </c>
      <c r="AS51" s="19">
        <f t="shared" si="140"/>
        <v>0</v>
      </c>
      <c r="AT51" s="19">
        <f t="shared" si="140"/>
        <v>0</v>
      </c>
      <c r="AU51" s="19">
        <f t="shared" si="140"/>
        <v>0</v>
      </c>
      <c r="AV51" s="19">
        <f t="shared" si="140"/>
        <v>0</v>
      </c>
      <c r="AW51" s="19">
        <f t="shared" si="140"/>
        <v>0</v>
      </c>
      <c r="AX51" s="19">
        <f t="shared" si="140"/>
        <v>0</v>
      </c>
      <c r="AY51" s="19">
        <f t="shared" si="140"/>
        <v>0</v>
      </c>
      <c r="AZ51" s="19">
        <f t="shared" si="140"/>
        <v>0</v>
      </c>
      <c r="BA51" s="19">
        <f t="shared" si="140"/>
        <v>0</v>
      </c>
      <c r="BB51" s="19">
        <f t="shared" si="140"/>
        <v>0</v>
      </c>
      <c r="BC51" s="19">
        <f t="shared" si="140"/>
        <v>0</v>
      </c>
      <c r="BD51" s="19">
        <f t="shared" si="140"/>
        <v>0</v>
      </c>
      <c r="BE51" s="19">
        <f t="shared" si="140"/>
        <v>0</v>
      </c>
      <c r="BF51" s="19">
        <f t="shared" si="140"/>
        <v>0</v>
      </c>
      <c r="BG51" s="19">
        <f t="shared" si="140"/>
        <v>0</v>
      </c>
      <c r="BH51" s="19">
        <f t="shared" si="140"/>
        <v>0</v>
      </c>
      <c r="BI51" s="19">
        <f t="shared" si="140"/>
        <v>0</v>
      </c>
      <c r="BJ51" s="19">
        <f t="shared" si="140"/>
        <v>0</v>
      </c>
      <c r="BK51" s="19">
        <f t="shared" si="140"/>
        <v>0</v>
      </c>
      <c r="BL51" s="19">
        <f t="shared" si="140"/>
        <v>0</v>
      </c>
      <c r="BM51" s="19">
        <f t="shared" si="140"/>
        <v>0</v>
      </c>
      <c r="BN51" s="19">
        <f t="shared" si="140"/>
        <v>0</v>
      </c>
      <c r="BO51" s="19">
        <f t="shared" si="140"/>
        <v>0</v>
      </c>
      <c r="BP51" s="19">
        <f t="shared" si="140"/>
        <v>0</v>
      </c>
      <c r="BQ51" s="19">
        <f t="shared" si="140"/>
        <v>0</v>
      </c>
      <c r="BR51" s="19">
        <f t="shared" si="140"/>
        <v>0</v>
      </c>
      <c r="BS51" s="19">
        <f t="shared" si="140"/>
        <v>0</v>
      </c>
      <c r="BT51" s="19">
        <f t="shared" ref="BT51:CR51" si="141">(BT$7&gt;=$C51)*$D51/12*(1+$E51)^(BT$33-1)</f>
        <v>0</v>
      </c>
      <c r="BU51" s="19">
        <f t="shared" si="141"/>
        <v>0</v>
      </c>
      <c r="BV51" s="19">
        <f t="shared" si="141"/>
        <v>0</v>
      </c>
      <c r="BW51" s="19">
        <f t="shared" si="141"/>
        <v>0</v>
      </c>
      <c r="BX51" s="19">
        <f t="shared" si="141"/>
        <v>0</v>
      </c>
      <c r="BY51" s="19">
        <f t="shared" si="141"/>
        <v>0</v>
      </c>
      <c r="BZ51" s="19">
        <f t="shared" si="141"/>
        <v>0</v>
      </c>
      <c r="CA51" s="19">
        <f t="shared" si="141"/>
        <v>0</v>
      </c>
      <c r="CB51" s="19">
        <f t="shared" si="141"/>
        <v>0</v>
      </c>
      <c r="CC51" s="19">
        <f t="shared" si="141"/>
        <v>0</v>
      </c>
      <c r="CD51" s="19">
        <f t="shared" si="141"/>
        <v>0</v>
      </c>
      <c r="CE51" s="19">
        <f t="shared" si="141"/>
        <v>0</v>
      </c>
      <c r="CF51" s="19">
        <f t="shared" si="141"/>
        <v>0</v>
      </c>
      <c r="CG51" s="19">
        <f t="shared" si="141"/>
        <v>0</v>
      </c>
      <c r="CH51" s="19">
        <f t="shared" si="141"/>
        <v>0</v>
      </c>
      <c r="CI51" s="19">
        <f t="shared" si="141"/>
        <v>0</v>
      </c>
      <c r="CJ51" s="19">
        <f t="shared" si="141"/>
        <v>0</v>
      </c>
      <c r="CK51" s="19">
        <f t="shared" si="141"/>
        <v>0</v>
      </c>
      <c r="CL51" s="19">
        <f t="shared" si="141"/>
        <v>0</v>
      </c>
      <c r="CM51" s="19">
        <f t="shared" si="141"/>
        <v>0</v>
      </c>
      <c r="CN51" s="19">
        <f t="shared" si="141"/>
        <v>0</v>
      </c>
      <c r="CO51" s="19">
        <f t="shared" si="141"/>
        <v>0</v>
      </c>
      <c r="CP51" s="19">
        <f t="shared" si="141"/>
        <v>0</v>
      </c>
      <c r="CQ51" s="19">
        <f t="shared" si="141"/>
        <v>0</v>
      </c>
      <c r="CR51" s="19">
        <f t="shared" si="141"/>
        <v>0</v>
      </c>
    </row>
    <row r="52" spans="2:97" x14ac:dyDescent="0.3">
      <c r="B52" s="49" t="s">
        <v>88</v>
      </c>
      <c r="C52" s="1"/>
      <c r="D52" s="1"/>
      <c r="E52" s="1"/>
      <c r="F52" s="1"/>
      <c r="G52" s="22">
        <f>G50-G51</f>
        <v>0</v>
      </c>
      <c r="H52" s="22">
        <f t="shared" ref="H52:BS52" si="142">H50-H51</f>
        <v>0</v>
      </c>
      <c r="I52" s="22">
        <f t="shared" si="142"/>
        <v>0</v>
      </c>
      <c r="J52" s="22">
        <f t="shared" si="142"/>
        <v>0</v>
      </c>
      <c r="K52" s="22">
        <f t="shared" si="142"/>
        <v>0</v>
      </c>
      <c r="L52" s="22">
        <f t="shared" si="142"/>
        <v>0</v>
      </c>
      <c r="M52" s="22">
        <f t="shared" si="142"/>
        <v>0</v>
      </c>
      <c r="N52" s="22">
        <f t="shared" si="142"/>
        <v>0</v>
      </c>
      <c r="O52" s="22">
        <f t="shared" si="142"/>
        <v>0</v>
      </c>
      <c r="P52" s="22">
        <f t="shared" si="142"/>
        <v>0</v>
      </c>
      <c r="Q52" s="22">
        <f t="shared" si="142"/>
        <v>0</v>
      </c>
      <c r="R52" s="22">
        <f t="shared" si="142"/>
        <v>0</v>
      </c>
      <c r="S52" s="22">
        <f t="shared" si="142"/>
        <v>0</v>
      </c>
      <c r="T52" s="22">
        <f t="shared" si="142"/>
        <v>0</v>
      </c>
      <c r="U52" s="22">
        <f t="shared" si="142"/>
        <v>0</v>
      </c>
      <c r="V52" s="22">
        <f t="shared" si="142"/>
        <v>0</v>
      </c>
      <c r="W52" s="22">
        <f t="shared" si="142"/>
        <v>0</v>
      </c>
      <c r="X52" s="22">
        <f t="shared" si="142"/>
        <v>0</v>
      </c>
      <c r="Y52" s="22">
        <f t="shared" si="142"/>
        <v>0</v>
      </c>
      <c r="Z52" s="22">
        <f t="shared" si="142"/>
        <v>0</v>
      </c>
      <c r="AA52" s="22">
        <f t="shared" si="142"/>
        <v>0</v>
      </c>
      <c r="AB52" s="22">
        <f t="shared" si="142"/>
        <v>0</v>
      </c>
      <c r="AC52" s="22">
        <f t="shared" si="142"/>
        <v>0</v>
      </c>
      <c r="AD52" s="22">
        <f t="shared" si="142"/>
        <v>0</v>
      </c>
      <c r="AE52" s="22">
        <f t="shared" si="142"/>
        <v>-133333.33333333334</v>
      </c>
      <c r="AF52" s="22">
        <f t="shared" si="142"/>
        <v>-133333.33333333334</v>
      </c>
      <c r="AG52" s="22">
        <f t="shared" si="142"/>
        <v>-133333.33333333334</v>
      </c>
      <c r="AH52" s="22">
        <f t="shared" si="142"/>
        <v>291666.66666666669</v>
      </c>
      <c r="AI52" s="22">
        <f t="shared" si="142"/>
        <v>291666.66666666669</v>
      </c>
      <c r="AJ52" s="22">
        <f t="shared" si="142"/>
        <v>390416.66666666669</v>
      </c>
      <c r="AK52" s="22">
        <f t="shared" si="142"/>
        <v>390416.66666666669</v>
      </c>
      <c r="AL52" s="22">
        <f t="shared" si="142"/>
        <v>390416.66666666669</v>
      </c>
      <c r="AM52" s="22">
        <f t="shared" si="142"/>
        <v>794166.66666666674</v>
      </c>
      <c r="AN52" s="22">
        <f t="shared" si="142"/>
        <v>794166.66666666674</v>
      </c>
      <c r="AO52" s="22">
        <f t="shared" si="142"/>
        <v>794166.66666666674</v>
      </c>
      <c r="AP52" s="22">
        <f t="shared" si="142"/>
        <v>794166.66666666674</v>
      </c>
      <c r="AQ52" s="22">
        <f t="shared" si="142"/>
        <v>806279.16666666674</v>
      </c>
      <c r="AR52" s="22">
        <f t="shared" si="142"/>
        <v>806279.16666666674</v>
      </c>
      <c r="AS52" s="22">
        <f t="shared" si="142"/>
        <v>806279.16666666674</v>
      </c>
      <c r="AT52" s="22">
        <f t="shared" si="142"/>
        <v>806279.16666666674</v>
      </c>
      <c r="AU52" s="22">
        <f t="shared" si="142"/>
        <v>806279.16666666674</v>
      </c>
      <c r="AV52" s="22">
        <f t="shared" si="142"/>
        <v>818391.66666666674</v>
      </c>
      <c r="AW52" s="22">
        <f t="shared" si="142"/>
        <v>818391.66666666674</v>
      </c>
      <c r="AX52" s="22">
        <f t="shared" si="142"/>
        <v>818391.66666666674</v>
      </c>
      <c r="AY52" s="22">
        <f t="shared" si="142"/>
        <v>818391.66666666674</v>
      </c>
      <c r="AZ52" s="22">
        <f t="shared" si="142"/>
        <v>818391.66666666674</v>
      </c>
      <c r="BA52" s="22">
        <f t="shared" si="142"/>
        <v>818391.66666666674</v>
      </c>
      <c r="BB52" s="22">
        <f t="shared" si="142"/>
        <v>818391.66666666674</v>
      </c>
      <c r="BC52" s="22">
        <f t="shared" si="142"/>
        <v>830867.54166666674</v>
      </c>
      <c r="BD52" s="22">
        <f t="shared" si="142"/>
        <v>830867.54166666674</v>
      </c>
      <c r="BE52" s="22">
        <f t="shared" si="142"/>
        <v>830867.54166666674</v>
      </c>
      <c r="BF52" s="22">
        <f t="shared" si="142"/>
        <v>830867.54166666674</v>
      </c>
      <c r="BG52" s="22">
        <f t="shared" si="142"/>
        <v>830867.54166666674</v>
      </c>
      <c r="BH52" s="22">
        <f t="shared" si="142"/>
        <v>843343.41666666674</v>
      </c>
      <c r="BI52" s="22">
        <f t="shared" si="142"/>
        <v>843343.41666666674</v>
      </c>
      <c r="BJ52" s="22">
        <f t="shared" si="142"/>
        <v>843343.41666666674</v>
      </c>
      <c r="BK52" s="22">
        <f t="shared" si="142"/>
        <v>843343.41666666674</v>
      </c>
      <c r="BL52" s="22">
        <f t="shared" si="142"/>
        <v>843343.41666666674</v>
      </c>
      <c r="BM52" s="22">
        <f t="shared" si="142"/>
        <v>843343.41666666674</v>
      </c>
      <c r="BN52" s="22">
        <f t="shared" si="142"/>
        <v>843343.41666666674</v>
      </c>
      <c r="BO52" s="22">
        <f t="shared" si="142"/>
        <v>856193.56791666662</v>
      </c>
      <c r="BP52" s="22">
        <f t="shared" si="142"/>
        <v>856193.56791666662</v>
      </c>
      <c r="BQ52" s="22">
        <f t="shared" si="142"/>
        <v>856193.56791666662</v>
      </c>
      <c r="BR52" s="22">
        <f t="shared" si="142"/>
        <v>856193.56791666662</v>
      </c>
      <c r="BS52" s="22">
        <f t="shared" si="142"/>
        <v>856193.56791666662</v>
      </c>
      <c r="BT52" s="22">
        <f t="shared" ref="BT52:CR52" si="143">BT50-BT51</f>
        <v>869043.7191666665</v>
      </c>
      <c r="BU52" s="22">
        <f t="shared" si="143"/>
        <v>869043.7191666665</v>
      </c>
      <c r="BV52" s="22">
        <f t="shared" si="143"/>
        <v>869043.7191666665</v>
      </c>
      <c r="BW52" s="22">
        <f t="shared" si="143"/>
        <v>869043.7191666665</v>
      </c>
      <c r="BX52" s="22">
        <f t="shared" si="143"/>
        <v>869043.7191666665</v>
      </c>
      <c r="BY52" s="22">
        <f t="shared" si="143"/>
        <v>869043.7191666665</v>
      </c>
      <c r="BZ52" s="22">
        <f t="shared" si="143"/>
        <v>869043.7191666665</v>
      </c>
      <c r="CA52" s="22">
        <f t="shared" si="143"/>
        <v>882279.37495416659</v>
      </c>
      <c r="CB52" s="22">
        <f t="shared" si="143"/>
        <v>882279.37495416659</v>
      </c>
      <c r="CC52" s="22">
        <f t="shared" si="143"/>
        <v>882279.37495416659</v>
      </c>
      <c r="CD52" s="22">
        <f t="shared" si="143"/>
        <v>882279.37495416659</v>
      </c>
      <c r="CE52" s="22">
        <f t="shared" si="143"/>
        <v>882279.37495416659</v>
      </c>
      <c r="CF52" s="22">
        <f t="shared" si="143"/>
        <v>895515.03074166668</v>
      </c>
      <c r="CG52" s="22">
        <f t="shared" si="143"/>
        <v>895515.03074166668</v>
      </c>
      <c r="CH52" s="22">
        <f t="shared" si="143"/>
        <v>895515.03074166668</v>
      </c>
      <c r="CI52" s="22">
        <f t="shared" si="143"/>
        <v>895515.03074166668</v>
      </c>
      <c r="CJ52" s="22">
        <f t="shared" si="143"/>
        <v>895515.03074166668</v>
      </c>
      <c r="CK52" s="22">
        <f t="shared" si="143"/>
        <v>895515.03074166668</v>
      </c>
      <c r="CL52" s="22">
        <f t="shared" si="143"/>
        <v>895515.03074166668</v>
      </c>
      <c r="CM52" s="22">
        <f t="shared" si="143"/>
        <v>909147.75620279158</v>
      </c>
      <c r="CN52" s="22">
        <f t="shared" si="143"/>
        <v>909147.75620279158</v>
      </c>
      <c r="CO52" s="22">
        <f t="shared" si="143"/>
        <v>909147.75620279158</v>
      </c>
      <c r="CP52" s="22">
        <f t="shared" si="143"/>
        <v>909147.75620279158</v>
      </c>
      <c r="CQ52" s="22">
        <f t="shared" si="143"/>
        <v>909147.75620279158</v>
      </c>
      <c r="CR52" s="22">
        <f t="shared" si="143"/>
        <v>922780.48166391649</v>
      </c>
    </row>
    <row r="53" spans="2:97" x14ac:dyDescent="0.3">
      <c r="B53" s="10" t="s">
        <v>90</v>
      </c>
      <c r="G53" s="19">
        <f>IF(G7&lt;$D$9,0,G28*$E$25/12)</f>
        <v>0</v>
      </c>
      <c r="H53" s="19">
        <f t="shared" ref="H53:BS53" si="144">IF(H7&lt;$D$9,0,H28*$E$25/12)</f>
        <v>0</v>
      </c>
      <c r="I53" s="19">
        <f t="shared" si="144"/>
        <v>0</v>
      </c>
      <c r="J53" s="19">
        <f t="shared" si="144"/>
        <v>0</v>
      </c>
      <c r="K53" s="19">
        <f t="shared" si="144"/>
        <v>0</v>
      </c>
      <c r="L53" s="19">
        <f t="shared" si="144"/>
        <v>0</v>
      </c>
      <c r="M53" s="19">
        <f t="shared" si="144"/>
        <v>0</v>
      </c>
      <c r="N53" s="19">
        <f t="shared" si="144"/>
        <v>0</v>
      </c>
      <c r="O53" s="19">
        <f t="shared" si="144"/>
        <v>0</v>
      </c>
      <c r="P53" s="19">
        <f t="shared" si="144"/>
        <v>0</v>
      </c>
      <c r="Q53" s="19">
        <f t="shared" si="144"/>
        <v>0</v>
      </c>
      <c r="R53" s="19">
        <f t="shared" si="144"/>
        <v>0</v>
      </c>
      <c r="S53" s="19">
        <f t="shared" si="144"/>
        <v>0</v>
      </c>
      <c r="T53" s="19">
        <f t="shared" si="144"/>
        <v>0</v>
      </c>
      <c r="U53" s="19">
        <f t="shared" si="144"/>
        <v>0</v>
      </c>
      <c r="V53" s="19">
        <f t="shared" si="144"/>
        <v>0</v>
      </c>
      <c r="W53" s="19">
        <f t="shared" si="144"/>
        <v>0</v>
      </c>
      <c r="X53" s="19">
        <f t="shared" si="144"/>
        <v>0</v>
      </c>
      <c r="Y53" s="19">
        <f t="shared" si="144"/>
        <v>0</v>
      </c>
      <c r="Z53" s="19">
        <f t="shared" si="144"/>
        <v>0</v>
      </c>
      <c r="AA53" s="19">
        <f t="shared" si="144"/>
        <v>0</v>
      </c>
      <c r="AB53" s="19">
        <f t="shared" si="144"/>
        <v>0</v>
      </c>
      <c r="AC53" s="19">
        <f t="shared" si="144"/>
        <v>0</v>
      </c>
      <c r="AD53" s="19">
        <f t="shared" si="144"/>
        <v>0</v>
      </c>
      <c r="AE53" s="19">
        <f t="shared" si="144"/>
        <v>0</v>
      </c>
      <c r="AF53" s="19">
        <f t="shared" si="144"/>
        <v>0</v>
      </c>
      <c r="AG53" s="19">
        <f t="shared" si="144"/>
        <v>0</v>
      </c>
      <c r="AH53" s="19">
        <f t="shared" ca="1" si="144"/>
        <v>243179.59890486021</v>
      </c>
      <c r="AI53" s="19">
        <f t="shared" ca="1" si="144"/>
        <v>243179.59890486021</v>
      </c>
      <c r="AJ53" s="19">
        <f t="shared" ca="1" si="144"/>
        <v>268179.59890486021</v>
      </c>
      <c r="AK53" s="19">
        <f t="shared" ca="1" si="144"/>
        <v>268179.59890486021</v>
      </c>
      <c r="AL53" s="19">
        <f t="shared" ca="1" si="144"/>
        <v>268179.59890486021</v>
      </c>
      <c r="AM53" s="19">
        <f t="shared" ca="1" si="144"/>
        <v>268179.59890486021</v>
      </c>
      <c r="AN53" s="19">
        <f t="shared" ca="1" si="144"/>
        <v>268179.59890486021</v>
      </c>
      <c r="AO53" s="19">
        <f t="shared" ca="1" si="144"/>
        <v>268179.59890486021</v>
      </c>
      <c r="AP53" s="19">
        <f t="shared" ca="1" si="144"/>
        <v>268179.59890486021</v>
      </c>
      <c r="AQ53" s="19">
        <f t="shared" ca="1" si="144"/>
        <v>268179.59890486021</v>
      </c>
      <c r="AR53" s="19">
        <f t="shared" ca="1" si="144"/>
        <v>268179.59890486021</v>
      </c>
      <c r="AS53" s="19">
        <f t="shared" ca="1" si="144"/>
        <v>268179.59890486021</v>
      </c>
      <c r="AT53" s="19">
        <f t="shared" ca="1" si="144"/>
        <v>268179.59890486021</v>
      </c>
      <c r="AU53" s="19">
        <f t="shared" ca="1" si="144"/>
        <v>268179.59890486021</v>
      </c>
      <c r="AV53" s="19">
        <f t="shared" ca="1" si="144"/>
        <v>268179.59890486021</v>
      </c>
      <c r="AW53" s="19">
        <f t="shared" ca="1" si="144"/>
        <v>268179.59890486021</v>
      </c>
      <c r="AX53" s="19">
        <f t="shared" ca="1" si="144"/>
        <v>268179.59890486021</v>
      </c>
      <c r="AY53" s="19">
        <f t="shared" ca="1" si="144"/>
        <v>268179.59890486021</v>
      </c>
      <c r="AZ53" s="19">
        <f t="shared" ca="1" si="144"/>
        <v>268179.59890486021</v>
      </c>
      <c r="BA53" s="19">
        <f t="shared" ca="1" si="144"/>
        <v>268179.59890486021</v>
      </c>
      <c r="BB53" s="19">
        <f t="shared" ca="1" si="144"/>
        <v>268179.59890486021</v>
      </c>
      <c r="BC53" s="19">
        <f t="shared" ca="1" si="144"/>
        <v>268179.59890486021</v>
      </c>
      <c r="BD53" s="19">
        <f t="shared" ca="1" si="144"/>
        <v>268179.59890486021</v>
      </c>
      <c r="BE53" s="19">
        <f t="shared" ca="1" si="144"/>
        <v>268179.59890486021</v>
      </c>
      <c r="BF53" s="19">
        <f t="shared" ca="1" si="144"/>
        <v>268179.59890486021</v>
      </c>
      <c r="BG53" s="19">
        <f t="shared" ca="1" si="144"/>
        <v>268179.59890486021</v>
      </c>
      <c r="BH53" s="19">
        <f t="shared" ca="1" si="144"/>
        <v>268179.59890486021</v>
      </c>
      <c r="BI53" s="19">
        <f t="shared" ca="1" si="144"/>
        <v>268179.59890486021</v>
      </c>
      <c r="BJ53" s="19">
        <f t="shared" ca="1" si="144"/>
        <v>268179.59890486021</v>
      </c>
      <c r="BK53" s="19">
        <f t="shared" ca="1" si="144"/>
        <v>268179.59890486021</v>
      </c>
      <c r="BL53" s="19">
        <f t="shared" ca="1" si="144"/>
        <v>268179.59890486021</v>
      </c>
      <c r="BM53" s="19">
        <f t="shared" ca="1" si="144"/>
        <v>268179.59890486021</v>
      </c>
      <c r="BN53" s="19">
        <f t="shared" ca="1" si="144"/>
        <v>268179.59890486021</v>
      </c>
      <c r="BO53" s="19">
        <f t="shared" ca="1" si="144"/>
        <v>268179.59890486021</v>
      </c>
      <c r="BP53" s="19">
        <f t="shared" ca="1" si="144"/>
        <v>268179.59890486021</v>
      </c>
      <c r="BQ53" s="19">
        <f t="shared" ca="1" si="144"/>
        <v>268179.59890486021</v>
      </c>
      <c r="BR53" s="19">
        <f t="shared" ca="1" si="144"/>
        <v>268179.59890486021</v>
      </c>
      <c r="BS53" s="19">
        <f t="shared" ca="1" si="144"/>
        <v>268179.59890486021</v>
      </c>
      <c r="BT53" s="19">
        <f t="shared" ref="BT53:CQ53" ca="1" si="145">IF(BT7&lt;$D$9,0,BT28*$E$25/12)</f>
        <v>268179.59890486021</v>
      </c>
      <c r="BU53" s="19">
        <f t="shared" ca="1" si="145"/>
        <v>268179.59890486021</v>
      </c>
      <c r="BV53" s="19">
        <f t="shared" ca="1" si="145"/>
        <v>268179.59890486021</v>
      </c>
      <c r="BW53" s="19">
        <f t="shared" ca="1" si="145"/>
        <v>268179.59890486021</v>
      </c>
      <c r="BX53" s="19">
        <f t="shared" ca="1" si="145"/>
        <v>268179.59890486021</v>
      </c>
      <c r="BY53" s="19">
        <f t="shared" ca="1" si="145"/>
        <v>268179.59890486021</v>
      </c>
      <c r="BZ53" s="19">
        <f t="shared" ca="1" si="145"/>
        <v>268179.59890486021</v>
      </c>
      <c r="CA53" s="19">
        <f t="shared" ca="1" si="145"/>
        <v>268179.59890486021</v>
      </c>
      <c r="CB53" s="19">
        <f t="shared" ca="1" si="145"/>
        <v>268179.59890486021</v>
      </c>
      <c r="CC53" s="19">
        <f t="shared" ca="1" si="145"/>
        <v>268179.59890486021</v>
      </c>
      <c r="CD53" s="19">
        <f t="shared" ca="1" si="145"/>
        <v>268179.59890486021</v>
      </c>
      <c r="CE53" s="19">
        <f t="shared" ca="1" si="145"/>
        <v>268179.59890486021</v>
      </c>
      <c r="CF53" s="19">
        <f t="shared" ca="1" si="145"/>
        <v>268179.59890486021</v>
      </c>
      <c r="CG53" s="19">
        <f t="shared" ca="1" si="145"/>
        <v>268179.59890486021</v>
      </c>
      <c r="CH53" s="19">
        <f t="shared" ca="1" si="145"/>
        <v>268179.59890486021</v>
      </c>
      <c r="CI53" s="19">
        <f t="shared" ca="1" si="145"/>
        <v>268179.59890486021</v>
      </c>
      <c r="CJ53" s="19">
        <f t="shared" ca="1" si="145"/>
        <v>268179.59890486021</v>
      </c>
      <c r="CK53" s="19">
        <f t="shared" ca="1" si="145"/>
        <v>268179.59890486021</v>
      </c>
      <c r="CL53" s="19">
        <f t="shared" ca="1" si="145"/>
        <v>268179.59890486021</v>
      </c>
      <c r="CM53" s="19">
        <f t="shared" ca="1" si="145"/>
        <v>268179.59890486021</v>
      </c>
      <c r="CN53" s="19">
        <f t="shared" ca="1" si="145"/>
        <v>268179.59890486021</v>
      </c>
      <c r="CO53" s="19">
        <f t="shared" ca="1" si="145"/>
        <v>268179.59890486021</v>
      </c>
      <c r="CP53" s="19">
        <f t="shared" ca="1" si="145"/>
        <v>268179.59890486021</v>
      </c>
      <c r="CQ53" s="19">
        <f t="shared" ca="1" si="145"/>
        <v>268179.59890486021</v>
      </c>
      <c r="CR53" s="19">
        <f t="shared" ref="CR53" ca="1" si="146">IF(CR7&lt;$D$9,0,$E$25/12*CR28)</f>
        <v>268179.59890486021</v>
      </c>
    </row>
    <row r="54" spans="2:97" x14ac:dyDescent="0.3">
      <c r="B54" s="49" t="s">
        <v>89</v>
      </c>
      <c r="C54" s="1"/>
      <c r="D54" s="1"/>
      <c r="E54" s="1"/>
      <c r="F54" s="1"/>
      <c r="G54" s="24">
        <f>G52-G53</f>
        <v>0</v>
      </c>
      <c r="H54" s="24">
        <f t="shared" ref="H54:BS54" si="147">H52-H53</f>
        <v>0</v>
      </c>
      <c r="I54" s="24">
        <f t="shared" si="147"/>
        <v>0</v>
      </c>
      <c r="J54" s="24">
        <f t="shared" si="147"/>
        <v>0</v>
      </c>
      <c r="K54" s="24">
        <f t="shared" si="147"/>
        <v>0</v>
      </c>
      <c r="L54" s="24">
        <f t="shared" si="147"/>
        <v>0</v>
      </c>
      <c r="M54" s="24">
        <f t="shared" si="147"/>
        <v>0</v>
      </c>
      <c r="N54" s="24">
        <f t="shared" si="147"/>
        <v>0</v>
      </c>
      <c r="O54" s="24">
        <f t="shared" si="147"/>
        <v>0</v>
      </c>
      <c r="P54" s="24">
        <f t="shared" si="147"/>
        <v>0</v>
      </c>
      <c r="Q54" s="24">
        <f t="shared" si="147"/>
        <v>0</v>
      </c>
      <c r="R54" s="24">
        <f t="shared" si="147"/>
        <v>0</v>
      </c>
      <c r="S54" s="24">
        <f t="shared" si="147"/>
        <v>0</v>
      </c>
      <c r="T54" s="24">
        <f t="shared" si="147"/>
        <v>0</v>
      </c>
      <c r="U54" s="24">
        <f t="shared" si="147"/>
        <v>0</v>
      </c>
      <c r="V54" s="24">
        <f t="shared" si="147"/>
        <v>0</v>
      </c>
      <c r="W54" s="24">
        <f t="shared" si="147"/>
        <v>0</v>
      </c>
      <c r="X54" s="24">
        <f t="shared" si="147"/>
        <v>0</v>
      </c>
      <c r="Y54" s="24">
        <f t="shared" si="147"/>
        <v>0</v>
      </c>
      <c r="Z54" s="24">
        <f t="shared" si="147"/>
        <v>0</v>
      </c>
      <c r="AA54" s="24">
        <f t="shared" si="147"/>
        <v>0</v>
      </c>
      <c r="AB54" s="24">
        <f t="shared" si="147"/>
        <v>0</v>
      </c>
      <c r="AC54" s="24">
        <f t="shared" si="147"/>
        <v>0</v>
      </c>
      <c r="AD54" s="24">
        <f t="shared" si="147"/>
        <v>0</v>
      </c>
      <c r="AE54" s="24">
        <f t="shared" si="147"/>
        <v>-133333.33333333334</v>
      </c>
      <c r="AF54" s="24">
        <f t="shared" si="147"/>
        <v>-133333.33333333334</v>
      </c>
      <c r="AG54" s="24">
        <f t="shared" si="147"/>
        <v>-133333.33333333334</v>
      </c>
      <c r="AH54" s="24">
        <f t="shared" ca="1" si="147"/>
        <v>48487.06776180648</v>
      </c>
      <c r="AI54" s="24">
        <f t="shared" ca="1" si="147"/>
        <v>48487.06776180648</v>
      </c>
      <c r="AJ54" s="24">
        <f t="shared" ca="1" si="147"/>
        <v>122237.06776180648</v>
      </c>
      <c r="AK54" s="24">
        <f t="shared" ca="1" si="147"/>
        <v>122237.06776180648</v>
      </c>
      <c r="AL54" s="24">
        <f t="shared" ca="1" si="147"/>
        <v>122237.06776180648</v>
      </c>
      <c r="AM54" s="24">
        <f t="shared" ca="1" si="147"/>
        <v>525987.06776180654</v>
      </c>
      <c r="AN54" s="24">
        <f t="shared" ca="1" si="147"/>
        <v>525987.06776180654</v>
      </c>
      <c r="AO54" s="24">
        <f t="shared" ca="1" si="147"/>
        <v>525987.06776180654</v>
      </c>
      <c r="AP54" s="24">
        <f t="shared" ca="1" si="147"/>
        <v>525987.06776180654</v>
      </c>
      <c r="AQ54" s="24">
        <f t="shared" ca="1" si="147"/>
        <v>538099.56776180654</v>
      </c>
      <c r="AR54" s="24">
        <f t="shared" ca="1" si="147"/>
        <v>538099.56776180654</v>
      </c>
      <c r="AS54" s="24">
        <f t="shared" ca="1" si="147"/>
        <v>538099.56776180654</v>
      </c>
      <c r="AT54" s="24">
        <f t="shared" ca="1" si="147"/>
        <v>538099.56776180654</v>
      </c>
      <c r="AU54" s="24">
        <f t="shared" ca="1" si="147"/>
        <v>538099.56776180654</v>
      </c>
      <c r="AV54" s="24">
        <f t="shared" ca="1" si="147"/>
        <v>550212.06776180654</v>
      </c>
      <c r="AW54" s="24">
        <f t="shared" ca="1" si="147"/>
        <v>550212.06776180654</v>
      </c>
      <c r="AX54" s="24">
        <f t="shared" ca="1" si="147"/>
        <v>550212.06776180654</v>
      </c>
      <c r="AY54" s="24">
        <f t="shared" ca="1" si="147"/>
        <v>550212.06776180654</v>
      </c>
      <c r="AZ54" s="24">
        <f t="shared" ca="1" si="147"/>
        <v>550212.06776180654</v>
      </c>
      <c r="BA54" s="24">
        <f t="shared" ca="1" si="147"/>
        <v>550212.06776180654</v>
      </c>
      <c r="BB54" s="24">
        <f t="shared" ca="1" si="147"/>
        <v>550212.06776180654</v>
      </c>
      <c r="BC54" s="24">
        <f t="shared" ca="1" si="147"/>
        <v>562687.94276180654</v>
      </c>
      <c r="BD54" s="24">
        <f t="shared" ca="1" si="147"/>
        <v>562687.94276180654</v>
      </c>
      <c r="BE54" s="24">
        <f t="shared" ca="1" si="147"/>
        <v>562687.94276180654</v>
      </c>
      <c r="BF54" s="24">
        <f t="shared" ca="1" si="147"/>
        <v>562687.94276180654</v>
      </c>
      <c r="BG54" s="24">
        <f t="shared" ca="1" si="147"/>
        <v>562687.94276180654</v>
      </c>
      <c r="BH54" s="24">
        <f t="shared" ca="1" si="147"/>
        <v>575163.81776180654</v>
      </c>
      <c r="BI54" s="24">
        <f t="shared" ca="1" si="147"/>
        <v>575163.81776180654</v>
      </c>
      <c r="BJ54" s="24">
        <f t="shared" ca="1" si="147"/>
        <v>575163.81776180654</v>
      </c>
      <c r="BK54" s="24">
        <f t="shared" ca="1" si="147"/>
        <v>575163.81776180654</v>
      </c>
      <c r="BL54" s="24">
        <f t="shared" ca="1" si="147"/>
        <v>575163.81776180654</v>
      </c>
      <c r="BM54" s="24">
        <f t="shared" ca="1" si="147"/>
        <v>575163.81776180654</v>
      </c>
      <c r="BN54" s="24">
        <f t="shared" ca="1" si="147"/>
        <v>575163.81776180654</v>
      </c>
      <c r="BO54" s="24">
        <f t="shared" ca="1" si="147"/>
        <v>588013.96901180642</v>
      </c>
      <c r="BP54" s="24">
        <f t="shared" ca="1" si="147"/>
        <v>588013.96901180642</v>
      </c>
      <c r="BQ54" s="24">
        <f t="shared" ca="1" si="147"/>
        <v>588013.96901180642</v>
      </c>
      <c r="BR54" s="24">
        <f t="shared" ca="1" si="147"/>
        <v>588013.96901180642</v>
      </c>
      <c r="BS54" s="24">
        <f t="shared" ca="1" si="147"/>
        <v>588013.96901180642</v>
      </c>
      <c r="BT54" s="24">
        <f t="shared" ref="BT54:CR54" ca="1" si="148">BT52-BT53</f>
        <v>600864.1202618063</v>
      </c>
      <c r="BU54" s="24">
        <f t="shared" ca="1" si="148"/>
        <v>600864.1202618063</v>
      </c>
      <c r="BV54" s="24">
        <f t="shared" ca="1" si="148"/>
        <v>600864.1202618063</v>
      </c>
      <c r="BW54" s="24">
        <f t="shared" ca="1" si="148"/>
        <v>600864.1202618063</v>
      </c>
      <c r="BX54" s="24">
        <f t="shared" ca="1" si="148"/>
        <v>600864.1202618063</v>
      </c>
      <c r="BY54" s="24">
        <f t="shared" ca="1" si="148"/>
        <v>600864.1202618063</v>
      </c>
      <c r="BZ54" s="24">
        <f t="shared" ca="1" si="148"/>
        <v>600864.1202618063</v>
      </c>
      <c r="CA54" s="24">
        <f t="shared" ca="1" si="148"/>
        <v>614099.77604930638</v>
      </c>
      <c r="CB54" s="24">
        <f t="shared" ca="1" si="148"/>
        <v>614099.77604930638</v>
      </c>
      <c r="CC54" s="24">
        <f t="shared" ca="1" si="148"/>
        <v>614099.77604930638</v>
      </c>
      <c r="CD54" s="24">
        <f t="shared" ca="1" si="148"/>
        <v>614099.77604930638</v>
      </c>
      <c r="CE54" s="24">
        <f t="shared" ca="1" si="148"/>
        <v>614099.77604930638</v>
      </c>
      <c r="CF54" s="24">
        <f t="shared" ca="1" si="148"/>
        <v>627335.43183680647</v>
      </c>
      <c r="CG54" s="24">
        <f t="shared" ca="1" si="148"/>
        <v>627335.43183680647</v>
      </c>
      <c r="CH54" s="24">
        <f t="shared" ca="1" si="148"/>
        <v>627335.43183680647</v>
      </c>
      <c r="CI54" s="24">
        <f t="shared" ca="1" si="148"/>
        <v>627335.43183680647</v>
      </c>
      <c r="CJ54" s="24">
        <f t="shared" ca="1" si="148"/>
        <v>627335.43183680647</v>
      </c>
      <c r="CK54" s="24">
        <f t="shared" ca="1" si="148"/>
        <v>627335.43183680647</v>
      </c>
      <c r="CL54" s="24">
        <f t="shared" ca="1" si="148"/>
        <v>627335.43183680647</v>
      </c>
      <c r="CM54" s="24">
        <f t="shared" ca="1" si="148"/>
        <v>640968.15729793138</v>
      </c>
      <c r="CN54" s="24">
        <f t="shared" ca="1" si="148"/>
        <v>640968.15729793138</v>
      </c>
      <c r="CO54" s="24">
        <f t="shared" ca="1" si="148"/>
        <v>640968.15729793138</v>
      </c>
      <c r="CP54" s="24">
        <f t="shared" ca="1" si="148"/>
        <v>640968.15729793138</v>
      </c>
      <c r="CQ54" s="24">
        <f t="shared" ca="1" si="148"/>
        <v>640968.15729793138</v>
      </c>
      <c r="CR54" s="24">
        <f t="shared" ca="1" si="148"/>
        <v>654600.88275905629</v>
      </c>
    </row>
    <row r="55" spans="2:97" x14ac:dyDescent="0.3"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0"/>
    </row>
    <row r="56" spans="2:97" s="33" customFormat="1" x14ac:dyDescent="0.3">
      <c r="B56" s="35" t="s">
        <v>91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</row>
    <row r="57" spans="2:97" x14ac:dyDescent="0.3">
      <c r="B57" s="10" t="s">
        <v>92</v>
      </c>
      <c r="C57" s="52">
        <f>MAX(G7:CR7)</f>
        <v>90</v>
      </c>
      <c r="D57" s="10"/>
      <c r="F57" s="25" t="s">
        <v>98</v>
      </c>
      <c r="G57" s="19">
        <f>(G$7=$C$57)*$C$62</f>
        <v>0</v>
      </c>
      <c r="H57" s="19">
        <f t="shared" ref="H57:BS57" si="149">(H7=$C$57)*$C$62</f>
        <v>0</v>
      </c>
      <c r="I57" s="19">
        <f t="shared" si="149"/>
        <v>0</v>
      </c>
      <c r="J57" s="19">
        <f t="shared" si="149"/>
        <v>0</v>
      </c>
      <c r="K57" s="19">
        <f t="shared" si="149"/>
        <v>0</v>
      </c>
      <c r="L57" s="19">
        <f t="shared" si="149"/>
        <v>0</v>
      </c>
      <c r="M57" s="19">
        <f t="shared" si="149"/>
        <v>0</v>
      </c>
      <c r="N57" s="19">
        <f t="shared" si="149"/>
        <v>0</v>
      </c>
      <c r="O57" s="19">
        <f t="shared" si="149"/>
        <v>0</v>
      </c>
      <c r="P57" s="19">
        <f t="shared" si="149"/>
        <v>0</v>
      </c>
      <c r="Q57" s="19">
        <f t="shared" si="149"/>
        <v>0</v>
      </c>
      <c r="R57" s="19">
        <f t="shared" si="149"/>
        <v>0</v>
      </c>
      <c r="S57" s="19">
        <f t="shared" si="149"/>
        <v>0</v>
      </c>
      <c r="T57" s="19">
        <f t="shared" si="149"/>
        <v>0</v>
      </c>
      <c r="U57" s="19">
        <f t="shared" si="149"/>
        <v>0</v>
      </c>
      <c r="V57" s="19">
        <f t="shared" si="149"/>
        <v>0</v>
      </c>
      <c r="W57" s="19">
        <f t="shared" si="149"/>
        <v>0</v>
      </c>
      <c r="X57" s="19">
        <f t="shared" si="149"/>
        <v>0</v>
      </c>
      <c r="Y57" s="19">
        <f t="shared" si="149"/>
        <v>0</v>
      </c>
      <c r="Z57" s="19">
        <f t="shared" si="149"/>
        <v>0</v>
      </c>
      <c r="AA57" s="19">
        <f t="shared" si="149"/>
        <v>0</v>
      </c>
      <c r="AB57" s="19">
        <f t="shared" si="149"/>
        <v>0</v>
      </c>
      <c r="AC57" s="19">
        <f t="shared" si="149"/>
        <v>0</v>
      </c>
      <c r="AD57" s="19">
        <f t="shared" si="149"/>
        <v>0</v>
      </c>
      <c r="AE57" s="19">
        <f t="shared" si="149"/>
        <v>0</v>
      </c>
      <c r="AF57" s="19">
        <f t="shared" si="149"/>
        <v>0</v>
      </c>
      <c r="AG57" s="19">
        <f t="shared" si="149"/>
        <v>0</v>
      </c>
      <c r="AH57" s="19">
        <f t="shared" si="149"/>
        <v>0</v>
      </c>
      <c r="AI57" s="19">
        <f t="shared" si="149"/>
        <v>0</v>
      </c>
      <c r="AJ57" s="19">
        <f t="shared" si="149"/>
        <v>0</v>
      </c>
      <c r="AK57" s="19">
        <f t="shared" si="149"/>
        <v>0</v>
      </c>
      <c r="AL57" s="19">
        <f t="shared" si="149"/>
        <v>0</v>
      </c>
      <c r="AM57" s="19">
        <f t="shared" si="149"/>
        <v>0</v>
      </c>
      <c r="AN57" s="19">
        <f t="shared" si="149"/>
        <v>0</v>
      </c>
      <c r="AO57" s="19">
        <f t="shared" si="149"/>
        <v>0</v>
      </c>
      <c r="AP57" s="19">
        <f t="shared" si="149"/>
        <v>0</v>
      </c>
      <c r="AQ57" s="19">
        <f t="shared" si="149"/>
        <v>0</v>
      </c>
      <c r="AR57" s="19">
        <f t="shared" si="149"/>
        <v>0</v>
      </c>
      <c r="AS57" s="19">
        <f t="shared" si="149"/>
        <v>0</v>
      </c>
      <c r="AT57" s="19">
        <f t="shared" si="149"/>
        <v>0</v>
      </c>
      <c r="AU57" s="19">
        <f t="shared" si="149"/>
        <v>0</v>
      </c>
      <c r="AV57" s="19">
        <f t="shared" si="149"/>
        <v>0</v>
      </c>
      <c r="AW57" s="19">
        <f t="shared" si="149"/>
        <v>0</v>
      </c>
      <c r="AX57" s="19">
        <f t="shared" si="149"/>
        <v>0</v>
      </c>
      <c r="AY57" s="19">
        <f t="shared" si="149"/>
        <v>0</v>
      </c>
      <c r="AZ57" s="19">
        <f t="shared" si="149"/>
        <v>0</v>
      </c>
      <c r="BA57" s="19">
        <f t="shared" si="149"/>
        <v>0</v>
      </c>
      <c r="BB57" s="19">
        <f t="shared" si="149"/>
        <v>0</v>
      </c>
      <c r="BC57" s="19">
        <f t="shared" si="149"/>
        <v>0</v>
      </c>
      <c r="BD57" s="19">
        <f t="shared" si="149"/>
        <v>0</v>
      </c>
      <c r="BE57" s="19">
        <f t="shared" si="149"/>
        <v>0</v>
      </c>
      <c r="BF57" s="19">
        <f t="shared" si="149"/>
        <v>0</v>
      </c>
      <c r="BG57" s="19">
        <f t="shared" si="149"/>
        <v>0</v>
      </c>
      <c r="BH57" s="19">
        <f t="shared" si="149"/>
        <v>0</v>
      </c>
      <c r="BI57" s="19">
        <f t="shared" si="149"/>
        <v>0</v>
      </c>
      <c r="BJ57" s="19">
        <f t="shared" si="149"/>
        <v>0</v>
      </c>
      <c r="BK57" s="19">
        <f t="shared" si="149"/>
        <v>0</v>
      </c>
      <c r="BL57" s="19">
        <f t="shared" si="149"/>
        <v>0</v>
      </c>
      <c r="BM57" s="19">
        <f t="shared" si="149"/>
        <v>0</v>
      </c>
      <c r="BN57" s="19">
        <f t="shared" si="149"/>
        <v>0</v>
      </c>
      <c r="BO57" s="19">
        <f t="shared" si="149"/>
        <v>0</v>
      </c>
      <c r="BP57" s="19">
        <f t="shared" si="149"/>
        <v>0</v>
      </c>
      <c r="BQ57" s="19">
        <f t="shared" si="149"/>
        <v>0</v>
      </c>
      <c r="BR57" s="19">
        <f t="shared" si="149"/>
        <v>0</v>
      </c>
      <c r="BS57" s="19">
        <f t="shared" si="149"/>
        <v>0</v>
      </c>
      <c r="BT57" s="19">
        <f t="shared" ref="BT57:CR57" si="150">(BT7=$C$57)*$C$62</f>
        <v>0</v>
      </c>
      <c r="BU57" s="19">
        <f t="shared" si="150"/>
        <v>0</v>
      </c>
      <c r="BV57" s="19">
        <f t="shared" si="150"/>
        <v>0</v>
      </c>
      <c r="BW57" s="19">
        <f t="shared" si="150"/>
        <v>0</v>
      </c>
      <c r="BX57" s="19">
        <f t="shared" si="150"/>
        <v>0</v>
      </c>
      <c r="BY57" s="19">
        <f t="shared" si="150"/>
        <v>0</v>
      </c>
      <c r="BZ57" s="19">
        <f t="shared" si="150"/>
        <v>0</v>
      </c>
      <c r="CA57" s="19">
        <f t="shared" si="150"/>
        <v>0</v>
      </c>
      <c r="CB57" s="19">
        <f t="shared" si="150"/>
        <v>0</v>
      </c>
      <c r="CC57" s="19">
        <f t="shared" si="150"/>
        <v>0</v>
      </c>
      <c r="CD57" s="19">
        <f t="shared" si="150"/>
        <v>0</v>
      </c>
      <c r="CE57" s="19">
        <f t="shared" si="150"/>
        <v>0</v>
      </c>
      <c r="CF57" s="19">
        <f t="shared" si="150"/>
        <v>0</v>
      </c>
      <c r="CG57" s="19">
        <f t="shared" si="150"/>
        <v>0</v>
      </c>
      <c r="CH57" s="19">
        <f t="shared" si="150"/>
        <v>0</v>
      </c>
      <c r="CI57" s="19">
        <f t="shared" si="150"/>
        <v>0</v>
      </c>
      <c r="CJ57" s="19">
        <f t="shared" si="150"/>
        <v>0</v>
      </c>
      <c r="CK57" s="19">
        <f t="shared" si="150"/>
        <v>0</v>
      </c>
      <c r="CL57" s="19">
        <f t="shared" si="150"/>
        <v>0</v>
      </c>
      <c r="CM57" s="19">
        <f t="shared" si="150"/>
        <v>0</v>
      </c>
      <c r="CN57" s="19">
        <f t="shared" si="150"/>
        <v>0</v>
      </c>
      <c r="CO57" s="19">
        <f t="shared" si="150"/>
        <v>0</v>
      </c>
      <c r="CP57" s="19">
        <f t="shared" si="150"/>
        <v>0</v>
      </c>
      <c r="CQ57" s="19">
        <f t="shared" si="150"/>
        <v>0</v>
      </c>
      <c r="CR57" s="19">
        <f t="shared" si="150"/>
        <v>198313914.42304534</v>
      </c>
    </row>
    <row r="58" spans="2:97" x14ac:dyDescent="0.3">
      <c r="B58" s="10" t="s">
        <v>93</v>
      </c>
      <c r="C58" s="74">
        <v>5.5E-2</v>
      </c>
      <c r="D58" s="10"/>
      <c r="F58" s="11" t="s">
        <v>99</v>
      </c>
      <c r="G58" s="19">
        <f ca="1">(G$7=$C$57)*G28</f>
        <v>0</v>
      </c>
      <c r="H58" s="19">
        <f t="shared" ref="H58:BS58" ca="1" si="151">(H$7=$C$57)*H28</f>
        <v>0</v>
      </c>
      <c r="I58" s="19">
        <f t="shared" ca="1" si="151"/>
        <v>0</v>
      </c>
      <c r="J58" s="19">
        <f t="shared" ca="1" si="151"/>
        <v>0</v>
      </c>
      <c r="K58" s="19">
        <f t="shared" ca="1" si="151"/>
        <v>0</v>
      </c>
      <c r="L58" s="19">
        <f t="shared" ca="1" si="151"/>
        <v>0</v>
      </c>
      <c r="M58" s="19">
        <f t="shared" ca="1" si="151"/>
        <v>0</v>
      </c>
      <c r="N58" s="19">
        <f t="shared" ca="1" si="151"/>
        <v>0</v>
      </c>
      <c r="O58" s="19">
        <f t="shared" ca="1" si="151"/>
        <v>0</v>
      </c>
      <c r="P58" s="19">
        <f t="shared" ca="1" si="151"/>
        <v>0</v>
      </c>
      <c r="Q58" s="19">
        <f t="shared" ca="1" si="151"/>
        <v>0</v>
      </c>
      <c r="R58" s="19">
        <f t="shared" ca="1" si="151"/>
        <v>0</v>
      </c>
      <c r="S58" s="19">
        <f t="shared" ca="1" si="151"/>
        <v>0</v>
      </c>
      <c r="T58" s="19">
        <f t="shared" ca="1" si="151"/>
        <v>0</v>
      </c>
      <c r="U58" s="19">
        <f t="shared" ca="1" si="151"/>
        <v>0</v>
      </c>
      <c r="V58" s="19">
        <f t="shared" ca="1" si="151"/>
        <v>0</v>
      </c>
      <c r="W58" s="19">
        <f t="shared" ca="1" si="151"/>
        <v>0</v>
      </c>
      <c r="X58" s="19">
        <f t="shared" ca="1" si="151"/>
        <v>0</v>
      </c>
      <c r="Y58" s="19">
        <f t="shared" ca="1" si="151"/>
        <v>0</v>
      </c>
      <c r="Z58" s="19">
        <f t="shared" ca="1" si="151"/>
        <v>0</v>
      </c>
      <c r="AA58" s="19">
        <f t="shared" ca="1" si="151"/>
        <v>0</v>
      </c>
      <c r="AB58" s="19">
        <f t="shared" ca="1" si="151"/>
        <v>0</v>
      </c>
      <c r="AC58" s="19">
        <f t="shared" ca="1" si="151"/>
        <v>0</v>
      </c>
      <c r="AD58" s="19">
        <f t="shared" ca="1" si="151"/>
        <v>0</v>
      </c>
      <c r="AE58" s="19">
        <f t="shared" ca="1" si="151"/>
        <v>0</v>
      </c>
      <c r="AF58" s="19">
        <f t="shared" ca="1" si="151"/>
        <v>0</v>
      </c>
      <c r="AG58" s="19">
        <f t="shared" ca="1" si="151"/>
        <v>0</v>
      </c>
      <c r="AH58" s="19">
        <f t="shared" ca="1" si="151"/>
        <v>0</v>
      </c>
      <c r="AI58" s="19">
        <f t="shared" ca="1" si="151"/>
        <v>0</v>
      </c>
      <c r="AJ58" s="19">
        <f t="shared" ca="1" si="151"/>
        <v>0</v>
      </c>
      <c r="AK58" s="19">
        <f t="shared" ca="1" si="151"/>
        <v>0</v>
      </c>
      <c r="AL58" s="19">
        <f t="shared" ca="1" si="151"/>
        <v>0</v>
      </c>
      <c r="AM58" s="19">
        <f t="shared" ca="1" si="151"/>
        <v>0</v>
      </c>
      <c r="AN58" s="19">
        <f t="shared" ca="1" si="151"/>
        <v>0</v>
      </c>
      <c r="AO58" s="19">
        <f t="shared" ca="1" si="151"/>
        <v>0</v>
      </c>
      <c r="AP58" s="19">
        <f t="shared" ca="1" si="151"/>
        <v>0</v>
      </c>
      <c r="AQ58" s="19">
        <f t="shared" ca="1" si="151"/>
        <v>0</v>
      </c>
      <c r="AR58" s="19">
        <f t="shared" ca="1" si="151"/>
        <v>0</v>
      </c>
      <c r="AS58" s="19">
        <f t="shared" ca="1" si="151"/>
        <v>0</v>
      </c>
      <c r="AT58" s="19">
        <f t="shared" ca="1" si="151"/>
        <v>0</v>
      </c>
      <c r="AU58" s="19">
        <f t="shared" ca="1" si="151"/>
        <v>0</v>
      </c>
      <c r="AV58" s="19">
        <f t="shared" ca="1" si="151"/>
        <v>0</v>
      </c>
      <c r="AW58" s="19">
        <f t="shared" ca="1" si="151"/>
        <v>0</v>
      </c>
      <c r="AX58" s="19">
        <f t="shared" ca="1" si="151"/>
        <v>0</v>
      </c>
      <c r="AY58" s="19">
        <f t="shared" ca="1" si="151"/>
        <v>0</v>
      </c>
      <c r="AZ58" s="19">
        <f t="shared" ca="1" si="151"/>
        <v>0</v>
      </c>
      <c r="BA58" s="19">
        <f t="shared" ca="1" si="151"/>
        <v>0</v>
      </c>
      <c r="BB58" s="19">
        <f t="shared" ca="1" si="151"/>
        <v>0</v>
      </c>
      <c r="BC58" s="19">
        <f t="shared" ca="1" si="151"/>
        <v>0</v>
      </c>
      <c r="BD58" s="19">
        <f t="shared" ca="1" si="151"/>
        <v>0</v>
      </c>
      <c r="BE58" s="19">
        <f t="shared" ca="1" si="151"/>
        <v>0</v>
      </c>
      <c r="BF58" s="19">
        <f t="shared" ca="1" si="151"/>
        <v>0</v>
      </c>
      <c r="BG58" s="19">
        <f t="shared" ca="1" si="151"/>
        <v>0</v>
      </c>
      <c r="BH58" s="19">
        <f t="shared" ca="1" si="151"/>
        <v>0</v>
      </c>
      <c r="BI58" s="19">
        <f t="shared" ca="1" si="151"/>
        <v>0</v>
      </c>
      <c r="BJ58" s="19">
        <f t="shared" ca="1" si="151"/>
        <v>0</v>
      </c>
      <c r="BK58" s="19">
        <f t="shared" ca="1" si="151"/>
        <v>0</v>
      </c>
      <c r="BL58" s="19">
        <f t="shared" ca="1" si="151"/>
        <v>0</v>
      </c>
      <c r="BM58" s="19">
        <f t="shared" ca="1" si="151"/>
        <v>0</v>
      </c>
      <c r="BN58" s="19">
        <f t="shared" ca="1" si="151"/>
        <v>0</v>
      </c>
      <c r="BO58" s="19">
        <f t="shared" ca="1" si="151"/>
        <v>0</v>
      </c>
      <c r="BP58" s="19">
        <f t="shared" ca="1" si="151"/>
        <v>0</v>
      </c>
      <c r="BQ58" s="19">
        <f t="shared" ca="1" si="151"/>
        <v>0</v>
      </c>
      <c r="BR58" s="19">
        <f t="shared" ca="1" si="151"/>
        <v>0</v>
      </c>
      <c r="BS58" s="19">
        <f t="shared" ca="1" si="151"/>
        <v>0</v>
      </c>
      <c r="BT58" s="19">
        <f t="shared" ref="BT58:CR58" ca="1" si="152">(BT$7=$C$57)*BT28</f>
        <v>0</v>
      </c>
      <c r="BU58" s="19">
        <f t="shared" ca="1" si="152"/>
        <v>0</v>
      </c>
      <c r="BV58" s="19">
        <f t="shared" ca="1" si="152"/>
        <v>0</v>
      </c>
      <c r="BW58" s="19">
        <f t="shared" ca="1" si="152"/>
        <v>0</v>
      </c>
      <c r="BX58" s="19">
        <f t="shared" ca="1" si="152"/>
        <v>0</v>
      </c>
      <c r="BY58" s="19">
        <f t="shared" ca="1" si="152"/>
        <v>0</v>
      </c>
      <c r="BZ58" s="19">
        <f t="shared" ca="1" si="152"/>
        <v>0</v>
      </c>
      <c r="CA58" s="19">
        <f t="shared" ca="1" si="152"/>
        <v>0</v>
      </c>
      <c r="CB58" s="19">
        <f t="shared" ca="1" si="152"/>
        <v>0</v>
      </c>
      <c r="CC58" s="19">
        <f t="shared" ca="1" si="152"/>
        <v>0</v>
      </c>
      <c r="CD58" s="19">
        <f t="shared" ca="1" si="152"/>
        <v>0</v>
      </c>
      <c r="CE58" s="19">
        <f t="shared" ca="1" si="152"/>
        <v>0</v>
      </c>
      <c r="CF58" s="19">
        <f t="shared" ca="1" si="152"/>
        <v>0</v>
      </c>
      <c r="CG58" s="19">
        <f t="shared" ca="1" si="152"/>
        <v>0</v>
      </c>
      <c r="CH58" s="19">
        <f t="shared" ca="1" si="152"/>
        <v>0</v>
      </c>
      <c r="CI58" s="19">
        <f t="shared" ca="1" si="152"/>
        <v>0</v>
      </c>
      <c r="CJ58" s="19">
        <f t="shared" ca="1" si="152"/>
        <v>0</v>
      </c>
      <c r="CK58" s="19">
        <f t="shared" ca="1" si="152"/>
        <v>0</v>
      </c>
      <c r="CL58" s="19">
        <f t="shared" ca="1" si="152"/>
        <v>0</v>
      </c>
      <c r="CM58" s="19">
        <f t="shared" ca="1" si="152"/>
        <v>0</v>
      </c>
      <c r="CN58" s="19">
        <f t="shared" ca="1" si="152"/>
        <v>0</v>
      </c>
      <c r="CO58" s="19">
        <f t="shared" ca="1" si="152"/>
        <v>0</v>
      </c>
      <c r="CP58" s="19">
        <f t="shared" ca="1" si="152"/>
        <v>0</v>
      </c>
      <c r="CQ58" s="19">
        <f t="shared" ca="1" si="152"/>
        <v>0</v>
      </c>
      <c r="CR58" s="19">
        <f t="shared" ca="1" si="152"/>
        <v>64363103.737166449</v>
      </c>
    </row>
    <row r="59" spans="2:97" x14ac:dyDescent="0.3">
      <c r="B59" s="10" t="s">
        <v>94</v>
      </c>
      <c r="C59" s="19">
        <f>INDEX($G$50:$CR$50,1,90)*12</f>
        <v>11073365.779966999</v>
      </c>
      <c r="D59" s="10"/>
      <c r="F59" s="11" t="s">
        <v>100</v>
      </c>
      <c r="G59" s="19">
        <f ca="1">G57-G58</f>
        <v>0</v>
      </c>
      <c r="H59" s="19">
        <f t="shared" ref="H59:BS59" ca="1" si="153">H57-H58</f>
        <v>0</v>
      </c>
      <c r="I59" s="19">
        <f t="shared" ca="1" si="153"/>
        <v>0</v>
      </c>
      <c r="J59" s="19">
        <f t="shared" ca="1" si="153"/>
        <v>0</v>
      </c>
      <c r="K59" s="19">
        <f t="shared" ca="1" si="153"/>
        <v>0</v>
      </c>
      <c r="L59" s="19">
        <f t="shared" ca="1" si="153"/>
        <v>0</v>
      </c>
      <c r="M59" s="19">
        <f t="shared" ca="1" si="153"/>
        <v>0</v>
      </c>
      <c r="N59" s="19">
        <f t="shared" ca="1" si="153"/>
        <v>0</v>
      </c>
      <c r="O59" s="19">
        <f t="shared" ca="1" si="153"/>
        <v>0</v>
      </c>
      <c r="P59" s="19">
        <f t="shared" ca="1" si="153"/>
        <v>0</v>
      </c>
      <c r="Q59" s="19">
        <f t="shared" ca="1" si="153"/>
        <v>0</v>
      </c>
      <c r="R59" s="19">
        <f t="shared" ca="1" si="153"/>
        <v>0</v>
      </c>
      <c r="S59" s="19">
        <f t="shared" ca="1" si="153"/>
        <v>0</v>
      </c>
      <c r="T59" s="19">
        <f t="shared" ca="1" si="153"/>
        <v>0</v>
      </c>
      <c r="U59" s="19">
        <f t="shared" ca="1" si="153"/>
        <v>0</v>
      </c>
      <c r="V59" s="19">
        <f t="shared" ca="1" si="153"/>
        <v>0</v>
      </c>
      <c r="W59" s="19">
        <f t="shared" ca="1" si="153"/>
        <v>0</v>
      </c>
      <c r="X59" s="19">
        <f t="shared" ca="1" si="153"/>
        <v>0</v>
      </c>
      <c r="Y59" s="19">
        <f t="shared" ca="1" si="153"/>
        <v>0</v>
      </c>
      <c r="Z59" s="19">
        <f t="shared" ca="1" si="153"/>
        <v>0</v>
      </c>
      <c r="AA59" s="19">
        <f t="shared" ca="1" si="153"/>
        <v>0</v>
      </c>
      <c r="AB59" s="19">
        <f t="shared" ca="1" si="153"/>
        <v>0</v>
      </c>
      <c r="AC59" s="19">
        <f t="shared" ca="1" si="153"/>
        <v>0</v>
      </c>
      <c r="AD59" s="19">
        <f t="shared" ca="1" si="153"/>
        <v>0</v>
      </c>
      <c r="AE59" s="19">
        <f t="shared" ca="1" si="153"/>
        <v>0</v>
      </c>
      <c r="AF59" s="19">
        <f t="shared" ca="1" si="153"/>
        <v>0</v>
      </c>
      <c r="AG59" s="19">
        <f t="shared" ca="1" si="153"/>
        <v>0</v>
      </c>
      <c r="AH59" s="19">
        <f t="shared" ca="1" si="153"/>
        <v>0</v>
      </c>
      <c r="AI59" s="19">
        <f t="shared" ca="1" si="153"/>
        <v>0</v>
      </c>
      <c r="AJ59" s="19">
        <f t="shared" ca="1" si="153"/>
        <v>0</v>
      </c>
      <c r="AK59" s="19">
        <f t="shared" ca="1" si="153"/>
        <v>0</v>
      </c>
      <c r="AL59" s="19">
        <f t="shared" ca="1" si="153"/>
        <v>0</v>
      </c>
      <c r="AM59" s="19">
        <f t="shared" ca="1" si="153"/>
        <v>0</v>
      </c>
      <c r="AN59" s="19">
        <f t="shared" ca="1" si="153"/>
        <v>0</v>
      </c>
      <c r="AO59" s="19">
        <f t="shared" ca="1" si="153"/>
        <v>0</v>
      </c>
      <c r="AP59" s="19">
        <f t="shared" ca="1" si="153"/>
        <v>0</v>
      </c>
      <c r="AQ59" s="19">
        <f t="shared" ca="1" si="153"/>
        <v>0</v>
      </c>
      <c r="AR59" s="19">
        <f t="shared" ca="1" si="153"/>
        <v>0</v>
      </c>
      <c r="AS59" s="19">
        <f t="shared" ca="1" si="153"/>
        <v>0</v>
      </c>
      <c r="AT59" s="19">
        <f t="shared" ca="1" si="153"/>
        <v>0</v>
      </c>
      <c r="AU59" s="19">
        <f t="shared" ca="1" si="153"/>
        <v>0</v>
      </c>
      <c r="AV59" s="19">
        <f t="shared" ca="1" si="153"/>
        <v>0</v>
      </c>
      <c r="AW59" s="19">
        <f t="shared" ca="1" si="153"/>
        <v>0</v>
      </c>
      <c r="AX59" s="19">
        <f t="shared" ca="1" si="153"/>
        <v>0</v>
      </c>
      <c r="AY59" s="19">
        <f t="shared" ca="1" si="153"/>
        <v>0</v>
      </c>
      <c r="AZ59" s="19">
        <f t="shared" ca="1" si="153"/>
        <v>0</v>
      </c>
      <c r="BA59" s="19">
        <f t="shared" ca="1" si="153"/>
        <v>0</v>
      </c>
      <c r="BB59" s="19">
        <f t="shared" ca="1" si="153"/>
        <v>0</v>
      </c>
      <c r="BC59" s="19">
        <f t="shared" ca="1" si="153"/>
        <v>0</v>
      </c>
      <c r="BD59" s="19">
        <f t="shared" ca="1" si="153"/>
        <v>0</v>
      </c>
      <c r="BE59" s="19">
        <f t="shared" ca="1" si="153"/>
        <v>0</v>
      </c>
      <c r="BF59" s="19">
        <f t="shared" ca="1" si="153"/>
        <v>0</v>
      </c>
      <c r="BG59" s="19">
        <f t="shared" ca="1" si="153"/>
        <v>0</v>
      </c>
      <c r="BH59" s="19">
        <f t="shared" ca="1" si="153"/>
        <v>0</v>
      </c>
      <c r="BI59" s="19">
        <f t="shared" ca="1" si="153"/>
        <v>0</v>
      </c>
      <c r="BJ59" s="19">
        <f t="shared" ca="1" si="153"/>
        <v>0</v>
      </c>
      <c r="BK59" s="19">
        <f t="shared" ca="1" si="153"/>
        <v>0</v>
      </c>
      <c r="BL59" s="19">
        <f t="shared" ca="1" si="153"/>
        <v>0</v>
      </c>
      <c r="BM59" s="19">
        <f t="shared" ca="1" si="153"/>
        <v>0</v>
      </c>
      <c r="BN59" s="19">
        <f t="shared" ca="1" si="153"/>
        <v>0</v>
      </c>
      <c r="BO59" s="19">
        <f t="shared" ca="1" si="153"/>
        <v>0</v>
      </c>
      <c r="BP59" s="19">
        <f t="shared" ca="1" si="153"/>
        <v>0</v>
      </c>
      <c r="BQ59" s="19">
        <f t="shared" ca="1" si="153"/>
        <v>0</v>
      </c>
      <c r="BR59" s="19">
        <f t="shared" ca="1" si="153"/>
        <v>0</v>
      </c>
      <c r="BS59" s="19">
        <f t="shared" ca="1" si="153"/>
        <v>0</v>
      </c>
      <c r="BT59" s="19">
        <f t="shared" ref="BT59:CR59" ca="1" si="154">BT57-BT58</f>
        <v>0</v>
      </c>
      <c r="BU59" s="19">
        <f t="shared" ca="1" si="154"/>
        <v>0</v>
      </c>
      <c r="BV59" s="19">
        <f t="shared" ca="1" si="154"/>
        <v>0</v>
      </c>
      <c r="BW59" s="19">
        <f t="shared" ca="1" si="154"/>
        <v>0</v>
      </c>
      <c r="BX59" s="19">
        <f t="shared" ca="1" si="154"/>
        <v>0</v>
      </c>
      <c r="BY59" s="19">
        <f t="shared" ca="1" si="154"/>
        <v>0</v>
      </c>
      <c r="BZ59" s="19">
        <f t="shared" ca="1" si="154"/>
        <v>0</v>
      </c>
      <c r="CA59" s="19">
        <f t="shared" ca="1" si="154"/>
        <v>0</v>
      </c>
      <c r="CB59" s="19">
        <f t="shared" ca="1" si="154"/>
        <v>0</v>
      </c>
      <c r="CC59" s="19">
        <f t="shared" ca="1" si="154"/>
        <v>0</v>
      </c>
      <c r="CD59" s="19">
        <f t="shared" ca="1" si="154"/>
        <v>0</v>
      </c>
      <c r="CE59" s="19">
        <f t="shared" ca="1" si="154"/>
        <v>0</v>
      </c>
      <c r="CF59" s="19">
        <f t="shared" ca="1" si="154"/>
        <v>0</v>
      </c>
      <c r="CG59" s="19">
        <f t="shared" ca="1" si="154"/>
        <v>0</v>
      </c>
      <c r="CH59" s="19">
        <f t="shared" ca="1" si="154"/>
        <v>0</v>
      </c>
      <c r="CI59" s="19">
        <f t="shared" ca="1" si="154"/>
        <v>0</v>
      </c>
      <c r="CJ59" s="19">
        <f t="shared" ca="1" si="154"/>
        <v>0</v>
      </c>
      <c r="CK59" s="19">
        <f t="shared" ca="1" si="154"/>
        <v>0</v>
      </c>
      <c r="CL59" s="19">
        <f t="shared" ca="1" si="154"/>
        <v>0</v>
      </c>
      <c r="CM59" s="19">
        <f t="shared" ca="1" si="154"/>
        <v>0</v>
      </c>
      <c r="CN59" s="19">
        <f t="shared" ca="1" si="154"/>
        <v>0</v>
      </c>
      <c r="CO59" s="19">
        <f t="shared" ca="1" si="154"/>
        <v>0</v>
      </c>
      <c r="CP59" s="19">
        <f t="shared" ca="1" si="154"/>
        <v>0</v>
      </c>
      <c r="CQ59" s="19">
        <f t="shared" ca="1" si="154"/>
        <v>0</v>
      </c>
      <c r="CR59" s="19">
        <f t="shared" ca="1" si="154"/>
        <v>133950810.68587889</v>
      </c>
    </row>
    <row r="60" spans="2:97" x14ac:dyDescent="0.3">
      <c r="B60" s="10" t="s">
        <v>95</v>
      </c>
      <c r="C60" s="22">
        <f>C59/C58</f>
        <v>201333923.27212724</v>
      </c>
      <c r="D60" s="10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</row>
    <row r="61" spans="2:97" x14ac:dyDescent="0.3">
      <c r="B61" s="10" t="s">
        <v>96</v>
      </c>
      <c r="C61" s="19">
        <f>C60*D61</f>
        <v>3020008.8490819084</v>
      </c>
      <c r="D61" s="74">
        <v>1.4999999999999999E-2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</row>
    <row r="62" spans="2:97" x14ac:dyDescent="0.3">
      <c r="B62" s="49" t="s">
        <v>97</v>
      </c>
      <c r="C62" s="22">
        <f>C60-C61</f>
        <v>198313914.42304534</v>
      </c>
      <c r="D62" s="10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</row>
    <row r="63" spans="2:97" x14ac:dyDescent="0.3"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</row>
    <row r="64" spans="2:97" x14ac:dyDescent="0.3"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0"/>
    </row>
    <row r="65" spans="2:97" s="33" customFormat="1" x14ac:dyDescent="0.3">
      <c r="B65" s="35" t="s">
        <v>101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</row>
    <row r="66" spans="2:97" x14ac:dyDescent="0.3">
      <c r="B66" s="1" t="s">
        <v>102</v>
      </c>
      <c r="G66" s="19">
        <f>-G20+G52+G57</f>
        <v>-23075000</v>
      </c>
      <c r="H66" s="19">
        <f t="shared" ref="H66:BS66" si="155">-H20+H52+H57</f>
        <v>-2875000</v>
      </c>
      <c r="I66" s="19">
        <f t="shared" si="155"/>
        <v>-2875000</v>
      </c>
      <c r="J66" s="19">
        <f t="shared" si="155"/>
        <v>-2875000</v>
      </c>
      <c r="K66" s="19">
        <f t="shared" si="155"/>
        <v>-2875000</v>
      </c>
      <c r="L66" s="19">
        <f t="shared" si="155"/>
        <v>-2875000</v>
      </c>
      <c r="M66" s="19">
        <f t="shared" si="155"/>
        <v>-2875000</v>
      </c>
      <c r="N66" s="19">
        <f t="shared" si="155"/>
        <v>-2875000</v>
      </c>
      <c r="O66" s="19">
        <f t="shared" si="155"/>
        <v>-2875000</v>
      </c>
      <c r="P66" s="19">
        <f t="shared" si="155"/>
        <v>-2875000</v>
      </c>
      <c r="Q66" s="19">
        <f t="shared" si="155"/>
        <v>-2875000</v>
      </c>
      <c r="R66" s="19">
        <f t="shared" si="155"/>
        <v>-2875000</v>
      </c>
      <c r="S66" s="19">
        <f t="shared" si="155"/>
        <v>-2875000</v>
      </c>
      <c r="T66" s="19">
        <f t="shared" si="155"/>
        <v>-2875000</v>
      </c>
      <c r="U66" s="19">
        <f t="shared" si="155"/>
        <v>-2875000</v>
      </c>
      <c r="V66" s="19">
        <f t="shared" si="155"/>
        <v>-2875000</v>
      </c>
      <c r="W66" s="19">
        <f t="shared" si="155"/>
        <v>-2875000</v>
      </c>
      <c r="X66" s="19">
        <f t="shared" si="155"/>
        <v>-2875000</v>
      </c>
      <c r="Y66" s="19">
        <f t="shared" si="155"/>
        <v>-4675000</v>
      </c>
      <c r="Z66" s="19">
        <f t="shared" si="155"/>
        <v>-2875000</v>
      </c>
      <c r="AA66" s="19">
        <f t="shared" si="155"/>
        <v>-2875000</v>
      </c>
      <c r="AB66" s="19">
        <f t="shared" si="155"/>
        <v>-2875000</v>
      </c>
      <c r="AC66" s="19">
        <f t="shared" si="155"/>
        <v>-2875000</v>
      </c>
      <c r="AD66" s="19">
        <f t="shared" si="155"/>
        <v>-4675000</v>
      </c>
      <c r="AE66" s="19">
        <f t="shared" si="155"/>
        <v>-6133333.333333333</v>
      </c>
      <c r="AF66" s="19">
        <f t="shared" si="155"/>
        <v>-133333.33333333334</v>
      </c>
      <c r="AG66" s="19">
        <f t="shared" si="155"/>
        <v>-133333.33333333334</v>
      </c>
      <c r="AH66" s="19">
        <f t="shared" si="155"/>
        <v>291666.66666666669</v>
      </c>
      <c r="AI66" s="19">
        <f t="shared" si="155"/>
        <v>291666.66666666669</v>
      </c>
      <c r="AJ66" s="19">
        <f t="shared" si="155"/>
        <v>-5609583.333333333</v>
      </c>
      <c r="AK66" s="19">
        <f t="shared" si="155"/>
        <v>390416.66666666669</v>
      </c>
      <c r="AL66" s="19">
        <f t="shared" si="155"/>
        <v>390416.66666666669</v>
      </c>
      <c r="AM66" s="19">
        <f t="shared" si="155"/>
        <v>794166.66666666674</v>
      </c>
      <c r="AN66" s="19">
        <f t="shared" si="155"/>
        <v>794166.66666666674</v>
      </c>
      <c r="AO66" s="19">
        <f t="shared" si="155"/>
        <v>794166.66666666674</v>
      </c>
      <c r="AP66" s="19">
        <f t="shared" si="155"/>
        <v>794166.66666666674</v>
      </c>
      <c r="AQ66" s="19">
        <f t="shared" si="155"/>
        <v>806279.16666666674</v>
      </c>
      <c r="AR66" s="19">
        <f t="shared" si="155"/>
        <v>806279.16666666674</v>
      </c>
      <c r="AS66" s="19">
        <f t="shared" si="155"/>
        <v>806279.16666666674</v>
      </c>
      <c r="AT66" s="19">
        <f t="shared" si="155"/>
        <v>806279.16666666674</v>
      </c>
      <c r="AU66" s="19">
        <f t="shared" si="155"/>
        <v>806279.16666666674</v>
      </c>
      <c r="AV66" s="19">
        <f t="shared" si="155"/>
        <v>818391.66666666674</v>
      </c>
      <c r="AW66" s="19">
        <f t="shared" si="155"/>
        <v>818391.66666666674</v>
      </c>
      <c r="AX66" s="19">
        <f t="shared" si="155"/>
        <v>818391.66666666674</v>
      </c>
      <c r="AY66" s="19">
        <f t="shared" si="155"/>
        <v>818391.66666666674</v>
      </c>
      <c r="AZ66" s="19">
        <f t="shared" si="155"/>
        <v>818391.66666666674</v>
      </c>
      <c r="BA66" s="19">
        <f t="shared" si="155"/>
        <v>818391.66666666674</v>
      </c>
      <c r="BB66" s="19">
        <f t="shared" si="155"/>
        <v>818391.66666666674</v>
      </c>
      <c r="BC66" s="19">
        <f t="shared" si="155"/>
        <v>830867.54166666674</v>
      </c>
      <c r="BD66" s="19">
        <f t="shared" si="155"/>
        <v>830867.54166666674</v>
      </c>
      <c r="BE66" s="19">
        <f t="shared" si="155"/>
        <v>830867.54166666674</v>
      </c>
      <c r="BF66" s="19">
        <f t="shared" si="155"/>
        <v>830867.54166666674</v>
      </c>
      <c r="BG66" s="19">
        <f t="shared" si="155"/>
        <v>830867.54166666674</v>
      </c>
      <c r="BH66" s="19">
        <f t="shared" si="155"/>
        <v>843343.41666666674</v>
      </c>
      <c r="BI66" s="19">
        <f t="shared" si="155"/>
        <v>843343.41666666674</v>
      </c>
      <c r="BJ66" s="19">
        <f t="shared" si="155"/>
        <v>843343.41666666674</v>
      </c>
      <c r="BK66" s="19">
        <f t="shared" si="155"/>
        <v>843343.41666666674</v>
      </c>
      <c r="BL66" s="19">
        <f t="shared" si="155"/>
        <v>843343.41666666674</v>
      </c>
      <c r="BM66" s="19">
        <f t="shared" si="155"/>
        <v>843343.41666666674</v>
      </c>
      <c r="BN66" s="19">
        <f t="shared" si="155"/>
        <v>843343.41666666674</v>
      </c>
      <c r="BO66" s="19">
        <f t="shared" si="155"/>
        <v>856193.56791666662</v>
      </c>
      <c r="BP66" s="19">
        <f t="shared" si="155"/>
        <v>856193.56791666662</v>
      </c>
      <c r="BQ66" s="19">
        <f t="shared" si="155"/>
        <v>856193.56791666662</v>
      </c>
      <c r="BR66" s="19">
        <f t="shared" si="155"/>
        <v>856193.56791666662</v>
      </c>
      <c r="BS66" s="19">
        <f t="shared" si="155"/>
        <v>856193.56791666662</v>
      </c>
      <c r="BT66" s="19">
        <f t="shared" ref="BT66:CR66" si="156">-BT20+BT52+BT57</f>
        <v>869043.7191666665</v>
      </c>
      <c r="BU66" s="19">
        <f t="shared" si="156"/>
        <v>869043.7191666665</v>
      </c>
      <c r="BV66" s="19">
        <f t="shared" si="156"/>
        <v>869043.7191666665</v>
      </c>
      <c r="BW66" s="19">
        <f t="shared" si="156"/>
        <v>869043.7191666665</v>
      </c>
      <c r="BX66" s="19">
        <f t="shared" si="156"/>
        <v>869043.7191666665</v>
      </c>
      <c r="BY66" s="19">
        <f t="shared" si="156"/>
        <v>869043.7191666665</v>
      </c>
      <c r="BZ66" s="19">
        <f t="shared" si="156"/>
        <v>869043.7191666665</v>
      </c>
      <c r="CA66" s="19">
        <f t="shared" si="156"/>
        <v>882279.37495416659</v>
      </c>
      <c r="CB66" s="19">
        <f t="shared" si="156"/>
        <v>882279.37495416659</v>
      </c>
      <c r="CC66" s="19">
        <f t="shared" si="156"/>
        <v>882279.37495416659</v>
      </c>
      <c r="CD66" s="19">
        <f t="shared" si="156"/>
        <v>882279.37495416659</v>
      </c>
      <c r="CE66" s="19">
        <f t="shared" si="156"/>
        <v>882279.37495416659</v>
      </c>
      <c r="CF66" s="19">
        <f t="shared" si="156"/>
        <v>895515.03074166668</v>
      </c>
      <c r="CG66" s="19">
        <f t="shared" si="156"/>
        <v>895515.03074166668</v>
      </c>
      <c r="CH66" s="19">
        <f t="shared" si="156"/>
        <v>895515.03074166668</v>
      </c>
      <c r="CI66" s="19">
        <f t="shared" si="156"/>
        <v>895515.03074166668</v>
      </c>
      <c r="CJ66" s="19">
        <f t="shared" si="156"/>
        <v>895515.03074166668</v>
      </c>
      <c r="CK66" s="19">
        <f t="shared" si="156"/>
        <v>895515.03074166668</v>
      </c>
      <c r="CL66" s="19">
        <f t="shared" si="156"/>
        <v>895515.03074166668</v>
      </c>
      <c r="CM66" s="19">
        <f t="shared" si="156"/>
        <v>909147.75620279158</v>
      </c>
      <c r="CN66" s="19">
        <f t="shared" si="156"/>
        <v>909147.75620279158</v>
      </c>
      <c r="CO66" s="19">
        <f t="shared" si="156"/>
        <v>909147.75620279158</v>
      </c>
      <c r="CP66" s="19">
        <f t="shared" si="156"/>
        <v>909147.75620279158</v>
      </c>
      <c r="CQ66" s="19">
        <f t="shared" si="156"/>
        <v>909147.75620279158</v>
      </c>
      <c r="CR66" s="19">
        <f t="shared" si="156"/>
        <v>199236694.90470925</v>
      </c>
    </row>
    <row r="67" spans="2:97" x14ac:dyDescent="0.3">
      <c r="B67" s="21" t="s">
        <v>103</v>
      </c>
      <c r="C67" s="51">
        <f>XIRR($G$66:$CR$66,$G$6:$CR$6)</f>
        <v>0.15752922892570492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</row>
    <row r="68" spans="2:97" x14ac:dyDescent="0.3">
      <c r="B68" s="21" t="s">
        <v>104</v>
      </c>
      <c r="C68" s="41">
        <f>-C70/C69</f>
        <v>2.377506084679939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</row>
    <row r="69" spans="2:97" x14ac:dyDescent="0.3">
      <c r="B69" s="21" t="s">
        <v>105</v>
      </c>
      <c r="C69" s="19">
        <f>SUMIF($G$66:$CR$66,"&lt;0")</f>
        <v>-104809583.33333331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</row>
    <row r="70" spans="2:97" x14ac:dyDescent="0.3">
      <c r="B70" s="21" t="s">
        <v>106</v>
      </c>
      <c r="C70" s="19">
        <f>SUMIF($G$66:$CR$66,"&gt;0")</f>
        <v>249185422.10776907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</row>
    <row r="71" spans="2:97" x14ac:dyDescent="0.3">
      <c r="B71" s="48" t="s">
        <v>107</v>
      </c>
      <c r="C71" s="22">
        <f>C69+C70</f>
        <v>144375838.77443576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</row>
    <row r="72" spans="2:97" x14ac:dyDescent="0.3"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</row>
    <row r="73" spans="2:97" x14ac:dyDescent="0.3">
      <c r="B73" s="1" t="s">
        <v>108</v>
      </c>
      <c r="G73" s="19">
        <f ca="1">-G22+G25+G54+G59</f>
        <v>-23075000</v>
      </c>
      <c r="H73" s="19">
        <f t="shared" ref="H73:BS73" ca="1" si="157">-H22+H25+H54+H59</f>
        <v>-2875000</v>
      </c>
      <c r="I73" s="19">
        <f t="shared" ca="1" si="157"/>
        <v>-2875000</v>
      </c>
      <c r="J73" s="19">
        <f t="shared" ca="1" si="157"/>
        <v>-2875000</v>
      </c>
      <c r="K73" s="19">
        <f t="shared" ca="1" si="157"/>
        <v>-2875000</v>
      </c>
      <c r="L73" s="19">
        <f t="shared" ca="1" si="157"/>
        <v>-2875000</v>
      </c>
      <c r="M73" s="19">
        <f t="shared" ca="1" si="157"/>
        <v>-2875000</v>
      </c>
      <c r="N73" s="19">
        <f t="shared" ca="1" si="157"/>
        <v>-2583735.8247776404</v>
      </c>
      <c r="O73" s="19">
        <f t="shared" ca="1" si="157"/>
        <v>0</v>
      </c>
      <c r="P73" s="19">
        <f t="shared" ca="1" si="157"/>
        <v>0</v>
      </c>
      <c r="Q73" s="19">
        <f t="shared" ca="1" si="157"/>
        <v>0</v>
      </c>
      <c r="R73" s="19">
        <f t="shared" ca="1" si="157"/>
        <v>0</v>
      </c>
      <c r="S73" s="19">
        <f t="shared" ca="1" si="157"/>
        <v>0</v>
      </c>
      <c r="T73" s="19">
        <f t="shared" ca="1" si="157"/>
        <v>0</v>
      </c>
      <c r="U73" s="19">
        <f t="shared" ca="1" si="157"/>
        <v>0</v>
      </c>
      <c r="V73" s="19">
        <f t="shared" ca="1" si="157"/>
        <v>0</v>
      </c>
      <c r="W73" s="19">
        <f t="shared" ca="1" si="157"/>
        <v>0</v>
      </c>
      <c r="X73" s="19">
        <f t="shared" ca="1" si="157"/>
        <v>0</v>
      </c>
      <c r="Y73" s="19">
        <f t="shared" ca="1" si="157"/>
        <v>0</v>
      </c>
      <c r="Z73" s="19">
        <f t="shared" ca="1" si="157"/>
        <v>0</v>
      </c>
      <c r="AA73" s="19">
        <f t="shared" ca="1" si="157"/>
        <v>0</v>
      </c>
      <c r="AB73" s="19">
        <f t="shared" ca="1" si="157"/>
        <v>0</v>
      </c>
      <c r="AC73" s="19">
        <f t="shared" ca="1" si="157"/>
        <v>0</v>
      </c>
      <c r="AD73" s="19">
        <f t="shared" ca="1" si="157"/>
        <v>0</v>
      </c>
      <c r="AE73" s="19">
        <f t="shared" ca="1" si="157"/>
        <v>-133333.33333333334</v>
      </c>
      <c r="AF73" s="19">
        <f t="shared" ca="1" si="157"/>
        <v>-133333.33333333334</v>
      </c>
      <c r="AG73" s="19">
        <f t="shared" ca="1" si="157"/>
        <v>-133333.33333333334</v>
      </c>
      <c r="AH73" s="19">
        <f t="shared" ca="1" si="157"/>
        <v>48487.06776180648</v>
      </c>
      <c r="AI73" s="19">
        <f t="shared" ca="1" si="157"/>
        <v>48487.06776180648</v>
      </c>
      <c r="AJ73" s="19">
        <f t="shared" ca="1" si="157"/>
        <v>122237.06776180648</v>
      </c>
      <c r="AK73" s="19">
        <f t="shared" ca="1" si="157"/>
        <v>122237.06776180648</v>
      </c>
      <c r="AL73" s="19">
        <f t="shared" ca="1" si="157"/>
        <v>122237.06776180648</v>
      </c>
      <c r="AM73" s="19">
        <f t="shared" ca="1" si="157"/>
        <v>525987.06776180654</v>
      </c>
      <c r="AN73" s="19">
        <f t="shared" ca="1" si="157"/>
        <v>525987.06776180654</v>
      </c>
      <c r="AO73" s="19">
        <f t="shared" ca="1" si="157"/>
        <v>525987.06776180654</v>
      </c>
      <c r="AP73" s="19">
        <f t="shared" ca="1" si="157"/>
        <v>525987.06776180654</v>
      </c>
      <c r="AQ73" s="19">
        <f t="shared" ca="1" si="157"/>
        <v>538099.56776180654</v>
      </c>
      <c r="AR73" s="19">
        <f t="shared" ca="1" si="157"/>
        <v>538099.56776180654</v>
      </c>
      <c r="AS73" s="19">
        <f t="shared" ca="1" si="157"/>
        <v>538099.56776180654</v>
      </c>
      <c r="AT73" s="19">
        <f t="shared" ca="1" si="157"/>
        <v>538099.56776180654</v>
      </c>
      <c r="AU73" s="19">
        <f t="shared" ca="1" si="157"/>
        <v>538099.56776180654</v>
      </c>
      <c r="AV73" s="19">
        <f t="shared" ca="1" si="157"/>
        <v>550212.06776180654</v>
      </c>
      <c r="AW73" s="19">
        <f t="shared" ca="1" si="157"/>
        <v>550212.06776180654</v>
      </c>
      <c r="AX73" s="19">
        <f t="shared" ca="1" si="157"/>
        <v>550212.06776180654</v>
      </c>
      <c r="AY73" s="19">
        <f t="shared" ca="1" si="157"/>
        <v>550212.06776180654</v>
      </c>
      <c r="AZ73" s="19">
        <f t="shared" ca="1" si="157"/>
        <v>550212.06776180654</v>
      </c>
      <c r="BA73" s="19">
        <f t="shared" ca="1" si="157"/>
        <v>550212.06776180654</v>
      </c>
      <c r="BB73" s="19">
        <f t="shared" ca="1" si="157"/>
        <v>550212.06776180654</v>
      </c>
      <c r="BC73" s="19">
        <f t="shared" ca="1" si="157"/>
        <v>562687.94276180654</v>
      </c>
      <c r="BD73" s="19">
        <f t="shared" ca="1" si="157"/>
        <v>562687.94276180654</v>
      </c>
      <c r="BE73" s="19">
        <f t="shared" ca="1" si="157"/>
        <v>562687.94276180654</v>
      </c>
      <c r="BF73" s="19">
        <f t="shared" ca="1" si="157"/>
        <v>562687.94276180654</v>
      </c>
      <c r="BG73" s="19">
        <f t="shared" ca="1" si="157"/>
        <v>562687.94276180654</v>
      </c>
      <c r="BH73" s="19">
        <f t="shared" ca="1" si="157"/>
        <v>575163.81776180654</v>
      </c>
      <c r="BI73" s="19">
        <f t="shared" ca="1" si="157"/>
        <v>575163.81776180654</v>
      </c>
      <c r="BJ73" s="19">
        <f t="shared" ca="1" si="157"/>
        <v>575163.81776180654</v>
      </c>
      <c r="BK73" s="19">
        <f t="shared" ca="1" si="157"/>
        <v>575163.81776180654</v>
      </c>
      <c r="BL73" s="19">
        <f t="shared" ca="1" si="157"/>
        <v>575163.81776180654</v>
      </c>
      <c r="BM73" s="19">
        <f t="shared" ca="1" si="157"/>
        <v>575163.81776180654</v>
      </c>
      <c r="BN73" s="19">
        <f t="shared" ca="1" si="157"/>
        <v>575163.81776180654</v>
      </c>
      <c r="BO73" s="19">
        <f t="shared" ca="1" si="157"/>
        <v>588013.96901180642</v>
      </c>
      <c r="BP73" s="19">
        <f t="shared" ca="1" si="157"/>
        <v>588013.96901180642</v>
      </c>
      <c r="BQ73" s="19">
        <f t="shared" ca="1" si="157"/>
        <v>588013.96901180642</v>
      </c>
      <c r="BR73" s="19">
        <f t="shared" ca="1" si="157"/>
        <v>588013.96901180642</v>
      </c>
      <c r="BS73" s="19">
        <f t="shared" ca="1" si="157"/>
        <v>588013.96901180642</v>
      </c>
      <c r="BT73" s="19">
        <f t="shared" ref="BT73:CR73" ca="1" si="158">-BT22+BT25+BT54+BT59</f>
        <v>600864.1202618063</v>
      </c>
      <c r="BU73" s="19">
        <f t="shared" ca="1" si="158"/>
        <v>600864.1202618063</v>
      </c>
      <c r="BV73" s="19">
        <f t="shared" ca="1" si="158"/>
        <v>600864.1202618063</v>
      </c>
      <c r="BW73" s="19">
        <f t="shared" ca="1" si="158"/>
        <v>600864.1202618063</v>
      </c>
      <c r="BX73" s="19">
        <f t="shared" ca="1" si="158"/>
        <v>600864.1202618063</v>
      </c>
      <c r="BY73" s="19">
        <f t="shared" ca="1" si="158"/>
        <v>600864.1202618063</v>
      </c>
      <c r="BZ73" s="19">
        <f t="shared" ca="1" si="158"/>
        <v>600864.1202618063</v>
      </c>
      <c r="CA73" s="19">
        <f t="shared" ca="1" si="158"/>
        <v>614099.77604930638</v>
      </c>
      <c r="CB73" s="19">
        <f t="shared" ca="1" si="158"/>
        <v>614099.77604930638</v>
      </c>
      <c r="CC73" s="19">
        <f t="shared" ca="1" si="158"/>
        <v>614099.77604930638</v>
      </c>
      <c r="CD73" s="19">
        <f t="shared" ca="1" si="158"/>
        <v>614099.77604930638</v>
      </c>
      <c r="CE73" s="19">
        <f t="shared" ca="1" si="158"/>
        <v>614099.77604930638</v>
      </c>
      <c r="CF73" s="19">
        <f t="shared" ca="1" si="158"/>
        <v>627335.43183680647</v>
      </c>
      <c r="CG73" s="19">
        <f ca="1">-CG22+CG25+CG54+CG59</f>
        <v>627335.43183680647</v>
      </c>
      <c r="CH73" s="19">
        <f t="shared" ca="1" si="158"/>
        <v>627335.43183680647</v>
      </c>
      <c r="CI73" s="19">
        <f t="shared" ca="1" si="158"/>
        <v>627335.43183680647</v>
      </c>
      <c r="CJ73" s="19">
        <f t="shared" ca="1" si="158"/>
        <v>627335.43183680647</v>
      </c>
      <c r="CK73" s="19">
        <f t="shared" ca="1" si="158"/>
        <v>627335.43183680647</v>
      </c>
      <c r="CL73" s="19">
        <f t="shared" ca="1" si="158"/>
        <v>627335.43183680647</v>
      </c>
      <c r="CM73" s="19">
        <f t="shared" ca="1" si="158"/>
        <v>640968.15729793138</v>
      </c>
      <c r="CN73" s="19">
        <f t="shared" ca="1" si="158"/>
        <v>640968.15729793138</v>
      </c>
      <c r="CO73" s="19">
        <f t="shared" ca="1" si="158"/>
        <v>640968.15729793138</v>
      </c>
      <c r="CP73" s="19">
        <f t="shared" ca="1" si="158"/>
        <v>640968.15729793138</v>
      </c>
      <c r="CQ73" s="19">
        <f t="shared" ca="1" si="158"/>
        <v>640968.15729793138</v>
      </c>
      <c r="CR73" s="19">
        <f t="shared" ca="1" si="158"/>
        <v>134605411.56863794</v>
      </c>
    </row>
    <row r="74" spans="2:97" x14ac:dyDescent="0.3">
      <c r="B74" s="21" t="s">
        <v>109</v>
      </c>
      <c r="C74" s="51">
        <f ca="1">XIRR($G$73:$CR$73,$G$6:$CR$6)</f>
        <v>0.22764143347740176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</row>
    <row r="75" spans="2:97" x14ac:dyDescent="0.3">
      <c r="B75" s="21" t="s">
        <v>110</v>
      </c>
      <c r="C75" s="41">
        <f ca="1">-C77/C76</f>
        <v>3.8876087491322537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</row>
    <row r="76" spans="2:97" x14ac:dyDescent="0.3">
      <c r="B76" s="21" t="s">
        <v>105</v>
      </c>
      <c r="C76" s="19">
        <f ca="1">SUMIF($G$73:$CR$73,"&lt;0")</f>
        <v>-43308735.824777648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</row>
    <row r="77" spans="2:97" x14ac:dyDescent="0.3">
      <c r="B77" s="21" t="s">
        <v>106</v>
      </c>
      <c r="C77" s="19">
        <f ca="1">SUMIF($G$73:$CR$73,"&gt;0")</f>
        <v>168367420.30626306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</row>
    <row r="78" spans="2:97" x14ac:dyDescent="0.3">
      <c r="B78" s="48" t="s">
        <v>107</v>
      </c>
      <c r="C78" s="22">
        <f ca="1">C76+C77</f>
        <v>125058684.48148541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</row>
    <row r="79" spans="2:97" x14ac:dyDescent="0.3"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0"/>
    </row>
    <row r="80" spans="2:97" s="35" customFormat="1" x14ac:dyDescent="0.3">
      <c r="B80" s="35" t="s">
        <v>111</v>
      </c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</row>
    <row r="81" spans="2:97" x14ac:dyDescent="0.3">
      <c r="B81" s="21" t="s">
        <v>137</v>
      </c>
      <c r="C81" s="10" t="s">
        <v>115</v>
      </c>
      <c r="D81" s="10" t="s">
        <v>51</v>
      </c>
      <c r="F81" s="18" t="s">
        <v>62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0"/>
    </row>
    <row r="82" spans="2:97" x14ac:dyDescent="0.3">
      <c r="B82" s="21" t="s">
        <v>112</v>
      </c>
      <c r="C82" s="74">
        <v>0.95</v>
      </c>
      <c r="D82" s="19">
        <f ca="1">-C82*C76</f>
        <v>41143299.033538766</v>
      </c>
      <c r="F82" s="18" t="str">
        <f ca="1">IF(ROUND(-SUM(G82:CR82),0)=ROUND(D82,0),"OK","ERROR")</f>
        <v>OK</v>
      </c>
      <c r="G82" s="28">
        <f ca="1">MIN(G$73,0)*$C$82</f>
        <v>-21921250</v>
      </c>
      <c r="H82" s="28">
        <f t="shared" ref="H82:BS82" ca="1" si="159">MIN(H$73,0)*$C$82</f>
        <v>-2731250</v>
      </c>
      <c r="I82" s="28">
        <f t="shared" ca="1" si="159"/>
        <v>-2731250</v>
      </c>
      <c r="J82" s="28">
        <f t="shared" ca="1" si="159"/>
        <v>-2731250</v>
      </c>
      <c r="K82" s="28">
        <f t="shared" ca="1" si="159"/>
        <v>-2731250</v>
      </c>
      <c r="L82" s="28">
        <f t="shared" ca="1" si="159"/>
        <v>-2731250</v>
      </c>
      <c r="M82" s="28">
        <f t="shared" ca="1" si="159"/>
        <v>-2731250</v>
      </c>
      <c r="N82" s="28">
        <f t="shared" ca="1" si="159"/>
        <v>-2454549.0335387583</v>
      </c>
      <c r="O82" s="28">
        <f t="shared" ca="1" si="159"/>
        <v>0</v>
      </c>
      <c r="P82" s="28">
        <f t="shared" ca="1" si="159"/>
        <v>0</v>
      </c>
      <c r="Q82" s="28">
        <f t="shared" ca="1" si="159"/>
        <v>0</v>
      </c>
      <c r="R82" s="28">
        <f t="shared" ca="1" si="159"/>
        <v>0</v>
      </c>
      <c r="S82" s="28">
        <f t="shared" ca="1" si="159"/>
        <v>0</v>
      </c>
      <c r="T82" s="28">
        <f t="shared" ca="1" si="159"/>
        <v>0</v>
      </c>
      <c r="U82" s="28">
        <f t="shared" ca="1" si="159"/>
        <v>0</v>
      </c>
      <c r="V82" s="28">
        <f t="shared" ca="1" si="159"/>
        <v>0</v>
      </c>
      <c r="W82" s="28">
        <f t="shared" ca="1" si="159"/>
        <v>0</v>
      </c>
      <c r="X82" s="28">
        <f t="shared" ca="1" si="159"/>
        <v>0</v>
      </c>
      <c r="Y82" s="28">
        <f t="shared" ca="1" si="159"/>
        <v>0</v>
      </c>
      <c r="Z82" s="28">
        <f t="shared" ca="1" si="159"/>
        <v>0</v>
      </c>
      <c r="AA82" s="28">
        <f t="shared" ca="1" si="159"/>
        <v>0</v>
      </c>
      <c r="AB82" s="28">
        <f t="shared" ca="1" si="159"/>
        <v>0</v>
      </c>
      <c r="AC82" s="28">
        <f t="shared" ca="1" si="159"/>
        <v>0</v>
      </c>
      <c r="AD82" s="28">
        <f t="shared" ca="1" si="159"/>
        <v>0</v>
      </c>
      <c r="AE82" s="28">
        <f t="shared" ca="1" si="159"/>
        <v>-126666.66666666667</v>
      </c>
      <c r="AF82" s="28">
        <f t="shared" ca="1" si="159"/>
        <v>-126666.66666666667</v>
      </c>
      <c r="AG82" s="28">
        <f t="shared" ca="1" si="159"/>
        <v>-126666.66666666667</v>
      </c>
      <c r="AH82" s="28">
        <f t="shared" ca="1" si="159"/>
        <v>0</v>
      </c>
      <c r="AI82" s="28">
        <f t="shared" ca="1" si="159"/>
        <v>0</v>
      </c>
      <c r="AJ82" s="28">
        <f t="shared" ca="1" si="159"/>
        <v>0</v>
      </c>
      <c r="AK82" s="28">
        <f t="shared" ca="1" si="159"/>
        <v>0</v>
      </c>
      <c r="AL82" s="28">
        <f t="shared" ca="1" si="159"/>
        <v>0</v>
      </c>
      <c r="AM82" s="28">
        <f t="shared" ca="1" si="159"/>
        <v>0</v>
      </c>
      <c r="AN82" s="28">
        <f t="shared" ca="1" si="159"/>
        <v>0</v>
      </c>
      <c r="AO82" s="28">
        <f t="shared" ca="1" si="159"/>
        <v>0</v>
      </c>
      <c r="AP82" s="28">
        <f t="shared" ca="1" si="159"/>
        <v>0</v>
      </c>
      <c r="AQ82" s="28">
        <f t="shared" ca="1" si="159"/>
        <v>0</v>
      </c>
      <c r="AR82" s="28">
        <f t="shared" ca="1" si="159"/>
        <v>0</v>
      </c>
      <c r="AS82" s="28">
        <f t="shared" ca="1" si="159"/>
        <v>0</v>
      </c>
      <c r="AT82" s="28">
        <f t="shared" ca="1" si="159"/>
        <v>0</v>
      </c>
      <c r="AU82" s="28">
        <f t="shared" ca="1" si="159"/>
        <v>0</v>
      </c>
      <c r="AV82" s="28">
        <f t="shared" ca="1" si="159"/>
        <v>0</v>
      </c>
      <c r="AW82" s="28">
        <f t="shared" ca="1" si="159"/>
        <v>0</v>
      </c>
      <c r="AX82" s="28">
        <f t="shared" ca="1" si="159"/>
        <v>0</v>
      </c>
      <c r="AY82" s="28">
        <f t="shared" ca="1" si="159"/>
        <v>0</v>
      </c>
      <c r="AZ82" s="28">
        <f t="shared" ca="1" si="159"/>
        <v>0</v>
      </c>
      <c r="BA82" s="28">
        <f t="shared" ca="1" si="159"/>
        <v>0</v>
      </c>
      <c r="BB82" s="28">
        <f t="shared" ca="1" si="159"/>
        <v>0</v>
      </c>
      <c r="BC82" s="28">
        <f t="shared" ca="1" si="159"/>
        <v>0</v>
      </c>
      <c r="BD82" s="28">
        <f t="shared" ca="1" si="159"/>
        <v>0</v>
      </c>
      <c r="BE82" s="28">
        <f t="shared" ca="1" si="159"/>
        <v>0</v>
      </c>
      <c r="BF82" s="28">
        <f t="shared" ca="1" si="159"/>
        <v>0</v>
      </c>
      <c r="BG82" s="28">
        <f t="shared" ca="1" si="159"/>
        <v>0</v>
      </c>
      <c r="BH82" s="28">
        <f t="shared" ca="1" si="159"/>
        <v>0</v>
      </c>
      <c r="BI82" s="28">
        <f t="shared" ca="1" si="159"/>
        <v>0</v>
      </c>
      <c r="BJ82" s="28">
        <f t="shared" ca="1" si="159"/>
        <v>0</v>
      </c>
      <c r="BK82" s="28">
        <f t="shared" ca="1" si="159"/>
        <v>0</v>
      </c>
      <c r="BL82" s="28">
        <f t="shared" ca="1" si="159"/>
        <v>0</v>
      </c>
      <c r="BM82" s="28">
        <f t="shared" ca="1" si="159"/>
        <v>0</v>
      </c>
      <c r="BN82" s="28">
        <f t="shared" ca="1" si="159"/>
        <v>0</v>
      </c>
      <c r="BO82" s="28">
        <f t="shared" ca="1" si="159"/>
        <v>0</v>
      </c>
      <c r="BP82" s="28">
        <f t="shared" ca="1" si="159"/>
        <v>0</v>
      </c>
      <c r="BQ82" s="28">
        <f t="shared" ca="1" si="159"/>
        <v>0</v>
      </c>
      <c r="BR82" s="28">
        <f t="shared" ca="1" si="159"/>
        <v>0</v>
      </c>
      <c r="BS82" s="28">
        <f t="shared" ca="1" si="159"/>
        <v>0</v>
      </c>
      <c r="BT82" s="28">
        <f t="shared" ref="BT82:CR82" ca="1" si="160">MIN(BT$73,0)*$C$82</f>
        <v>0</v>
      </c>
      <c r="BU82" s="28">
        <f t="shared" ca="1" si="160"/>
        <v>0</v>
      </c>
      <c r="BV82" s="28">
        <f t="shared" ca="1" si="160"/>
        <v>0</v>
      </c>
      <c r="BW82" s="28">
        <f t="shared" ca="1" si="160"/>
        <v>0</v>
      </c>
      <c r="BX82" s="28">
        <f t="shared" ca="1" si="160"/>
        <v>0</v>
      </c>
      <c r="BY82" s="28">
        <f t="shared" ca="1" si="160"/>
        <v>0</v>
      </c>
      <c r="BZ82" s="28">
        <f t="shared" ca="1" si="160"/>
        <v>0</v>
      </c>
      <c r="CA82" s="28">
        <f t="shared" ca="1" si="160"/>
        <v>0</v>
      </c>
      <c r="CB82" s="28">
        <f t="shared" ca="1" si="160"/>
        <v>0</v>
      </c>
      <c r="CC82" s="28">
        <f t="shared" ca="1" si="160"/>
        <v>0</v>
      </c>
      <c r="CD82" s="28">
        <f t="shared" ca="1" si="160"/>
        <v>0</v>
      </c>
      <c r="CE82" s="28">
        <f t="shared" ca="1" si="160"/>
        <v>0</v>
      </c>
      <c r="CF82" s="28">
        <f t="shared" ca="1" si="160"/>
        <v>0</v>
      </c>
      <c r="CG82" s="28">
        <f t="shared" ca="1" si="160"/>
        <v>0</v>
      </c>
      <c r="CH82" s="28">
        <f t="shared" ca="1" si="160"/>
        <v>0</v>
      </c>
      <c r="CI82" s="28">
        <f t="shared" ca="1" si="160"/>
        <v>0</v>
      </c>
      <c r="CJ82" s="28">
        <f t="shared" ca="1" si="160"/>
        <v>0</v>
      </c>
      <c r="CK82" s="28">
        <f t="shared" ca="1" si="160"/>
        <v>0</v>
      </c>
      <c r="CL82" s="28">
        <f t="shared" ca="1" si="160"/>
        <v>0</v>
      </c>
      <c r="CM82" s="28">
        <f t="shared" ca="1" si="160"/>
        <v>0</v>
      </c>
      <c r="CN82" s="28">
        <f t="shared" ca="1" si="160"/>
        <v>0</v>
      </c>
      <c r="CO82" s="28">
        <f t="shared" ca="1" si="160"/>
        <v>0</v>
      </c>
      <c r="CP82" s="28">
        <f t="shared" ca="1" si="160"/>
        <v>0</v>
      </c>
      <c r="CQ82" s="28">
        <f t="shared" ca="1" si="160"/>
        <v>0</v>
      </c>
      <c r="CR82" s="28">
        <f t="shared" ca="1" si="160"/>
        <v>0</v>
      </c>
    </row>
    <row r="83" spans="2:97" x14ac:dyDescent="0.3">
      <c r="B83" s="21" t="s">
        <v>113</v>
      </c>
      <c r="C83" s="14">
        <f>1-C82</f>
        <v>5.0000000000000044E-2</v>
      </c>
      <c r="D83" s="19">
        <f ca="1">-C83*C76</f>
        <v>2165436.7912388844</v>
      </c>
      <c r="F83" s="18" t="str">
        <f t="shared" ref="F83:F84" ca="1" si="161">IF(ROUND(-SUM(G83:CR83),0)=ROUND(D83,0),"OK","ERROR")</f>
        <v>OK</v>
      </c>
      <c r="G83" s="19">
        <f ca="1">MIN(G$73,0)*$C$83</f>
        <v>-1153750.0000000009</v>
      </c>
      <c r="H83" s="19">
        <f t="shared" ref="H83:BS83" ca="1" si="162">MIN(H$73,0)*$C$83</f>
        <v>-143750.00000000012</v>
      </c>
      <c r="I83" s="19">
        <f t="shared" ca="1" si="162"/>
        <v>-143750.00000000012</v>
      </c>
      <c r="J83" s="19">
        <f t="shared" ca="1" si="162"/>
        <v>-143750.00000000012</v>
      </c>
      <c r="K83" s="19">
        <f t="shared" ca="1" si="162"/>
        <v>-143750.00000000012</v>
      </c>
      <c r="L83" s="19">
        <f t="shared" ca="1" si="162"/>
        <v>-143750.00000000012</v>
      </c>
      <c r="M83" s="19">
        <f t="shared" ca="1" si="162"/>
        <v>-143750.00000000012</v>
      </c>
      <c r="N83" s="19">
        <f t="shared" ca="1" si="162"/>
        <v>-129186.79123888213</v>
      </c>
      <c r="O83" s="19">
        <f t="shared" ca="1" si="162"/>
        <v>0</v>
      </c>
      <c r="P83" s="19">
        <f t="shared" ca="1" si="162"/>
        <v>0</v>
      </c>
      <c r="Q83" s="19">
        <f t="shared" ca="1" si="162"/>
        <v>0</v>
      </c>
      <c r="R83" s="19">
        <f t="shared" ca="1" si="162"/>
        <v>0</v>
      </c>
      <c r="S83" s="19">
        <f t="shared" ca="1" si="162"/>
        <v>0</v>
      </c>
      <c r="T83" s="19">
        <f t="shared" ca="1" si="162"/>
        <v>0</v>
      </c>
      <c r="U83" s="19">
        <f t="shared" ca="1" si="162"/>
        <v>0</v>
      </c>
      <c r="V83" s="19">
        <f t="shared" ca="1" si="162"/>
        <v>0</v>
      </c>
      <c r="W83" s="19">
        <f t="shared" ca="1" si="162"/>
        <v>0</v>
      </c>
      <c r="X83" s="19">
        <f t="shared" ca="1" si="162"/>
        <v>0</v>
      </c>
      <c r="Y83" s="19">
        <f t="shared" ca="1" si="162"/>
        <v>0</v>
      </c>
      <c r="Z83" s="19">
        <f t="shared" ca="1" si="162"/>
        <v>0</v>
      </c>
      <c r="AA83" s="19">
        <f t="shared" ca="1" si="162"/>
        <v>0</v>
      </c>
      <c r="AB83" s="19">
        <f t="shared" ca="1" si="162"/>
        <v>0</v>
      </c>
      <c r="AC83" s="19">
        <f t="shared" ca="1" si="162"/>
        <v>0</v>
      </c>
      <c r="AD83" s="19">
        <f t="shared" ca="1" si="162"/>
        <v>0</v>
      </c>
      <c r="AE83" s="19">
        <f t="shared" ca="1" si="162"/>
        <v>-6666.6666666666733</v>
      </c>
      <c r="AF83" s="19">
        <f t="shared" ca="1" si="162"/>
        <v>-6666.6666666666733</v>
      </c>
      <c r="AG83" s="19">
        <f t="shared" ca="1" si="162"/>
        <v>-6666.6666666666733</v>
      </c>
      <c r="AH83" s="19">
        <f t="shared" ca="1" si="162"/>
        <v>0</v>
      </c>
      <c r="AI83" s="19">
        <f t="shared" ca="1" si="162"/>
        <v>0</v>
      </c>
      <c r="AJ83" s="19">
        <f t="shared" ca="1" si="162"/>
        <v>0</v>
      </c>
      <c r="AK83" s="19">
        <f t="shared" ca="1" si="162"/>
        <v>0</v>
      </c>
      <c r="AL83" s="19">
        <f t="shared" ca="1" si="162"/>
        <v>0</v>
      </c>
      <c r="AM83" s="19">
        <f t="shared" ca="1" si="162"/>
        <v>0</v>
      </c>
      <c r="AN83" s="19">
        <f t="shared" ca="1" si="162"/>
        <v>0</v>
      </c>
      <c r="AO83" s="19">
        <f t="shared" ca="1" si="162"/>
        <v>0</v>
      </c>
      <c r="AP83" s="19">
        <f t="shared" ca="1" si="162"/>
        <v>0</v>
      </c>
      <c r="AQ83" s="19">
        <f t="shared" ca="1" si="162"/>
        <v>0</v>
      </c>
      <c r="AR83" s="19">
        <f t="shared" ca="1" si="162"/>
        <v>0</v>
      </c>
      <c r="AS83" s="19">
        <f t="shared" ca="1" si="162"/>
        <v>0</v>
      </c>
      <c r="AT83" s="19">
        <f t="shared" ca="1" si="162"/>
        <v>0</v>
      </c>
      <c r="AU83" s="19">
        <f t="shared" ca="1" si="162"/>
        <v>0</v>
      </c>
      <c r="AV83" s="19">
        <f t="shared" ca="1" si="162"/>
        <v>0</v>
      </c>
      <c r="AW83" s="19">
        <f t="shared" ca="1" si="162"/>
        <v>0</v>
      </c>
      <c r="AX83" s="19">
        <f t="shared" ca="1" si="162"/>
        <v>0</v>
      </c>
      <c r="AY83" s="19">
        <f t="shared" ca="1" si="162"/>
        <v>0</v>
      </c>
      <c r="AZ83" s="19">
        <f t="shared" ca="1" si="162"/>
        <v>0</v>
      </c>
      <c r="BA83" s="19">
        <f t="shared" ca="1" si="162"/>
        <v>0</v>
      </c>
      <c r="BB83" s="19">
        <f t="shared" ca="1" si="162"/>
        <v>0</v>
      </c>
      <c r="BC83" s="19">
        <f t="shared" ca="1" si="162"/>
        <v>0</v>
      </c>
      <c r="BD83" s="19">
        <f t="shared" ca="1" si="162"/>
        <v>0</v>
      </c>
      <c r="BE83" s="19">
        <f t="shared" ca="1" si="162"/>
        <v>0</v>
      </c>
      <c r="BF83" s="19">
        <f t="shared" ca="1" si="162"/>
        <v>0</v>
      </c>
      <c r="BG83" s="19">
        <f t="shared" ca="1" si="162"/>
        <v>0</v>
      </c>
      <c r="BH83" s="19">
        <f t="shared" ca="1" si="162"/>
        <v>0</v>
      </c>
      <c r="BI83" s="19">
        <f t="shared" ca="1" si="162"/>
        <v>0</v>
      </c>
      <c r="BJ83" s="19">
        <f t="shared" ca="1" si="162"/>
        <v>0</v>
      </c>
      <c r="BK83" s="19">
        <f t="shared" ca="1" si="162"/>
        <v>0</v>
      </c>
      <c r="BL83" s="19">
        <f t="shared" ca="1" si="162"/>
        <v>0</v>
      </c>
      <c r="BM83" s="19">
        <f t="shared" ca="1" si="162"/>
        <v>0</v>
      </c>
      <c r="BN83" s="19">
        <f t="shared" ca="1" si="162"/>
        <v>0</v>
      </c>
      <c r="BO83" s="19">
        <f t="shared" ca="1" si="162"/>
        <v>0</v>
      </c>
      <c r="BP83" s="19">
        <f t="shared" ca="1" si="162"/>
        <v>0</v>
      </c>
      <c r="BQ83" s="19">
        <f t="shared" ca="1" si="162"/>
        <v>0</v>
      </c>
      <c r="BR83" s="19">
        <f t="shared" ca="1" si="162"/>
        <v>0</v>
      </c>
      <c r="BS83" s="19">
        <f t="shared" ca="1" si="162"/>
        <v>0</v>
      </c>
      <c r="BT83" s="19">
        <f t="shared" ref="BT83:CR83" ca="1" si="163">MIN(BT$73,0)*$C$83</f>
        <v>0</v>
      </c>
      <c r="BU83" s="19">
        <f t="shared" ca="1" si="163"/>
        <v>0</v>
      </c>
      <c r="BV83" s="19">
        <f t="shared" ca="1" si="163"/>
        <v>0</v>
      </c>
      <c r="BW83" s="19">
        <f t="shared" ca="1" si="163"/>
        <v>0</v>
      </c>
      <c r="BX83" s="19">
        <f t="shared" ca="1" si="163"/>
        <v>0</v>
      </c>
      <c r="BY83" s="19">
        <f t="shared" ca="1" si="163"/>
        <v>0</v>
      </c>
      <c r="BZ83" s="19">
        <f t="shared" ca="1" si="163"/>
        <v>0</v>
      </c>
      <c r="CA83" s="19">
        <f t="shared" ca="1" si="163"/>
        <v>0</v>
      </c>
      <c r="CB83" s="19">
        <f t="shared" ca="1" si="163"/>
        <v>0</v>
      </c>
      <c r="CC83" s="19">
        <f t="shared" ca="1" si="163"/>
        <v>0</v>
      </c>
      <c r="CD83" s="19">
        <f t="shared" ca="1" si="163"/>
        <v>0</v>
      </c>
      <c r="CE83" s="19">
        <f t="shared" ca="1" si="163"/>
        <v>0</v>
      </c>
      <c r="CF83" s="19">
        <f t="shared" ca="1" si="163"/>
        <v>0</v>
      </c>
      <c r="CG83" s="19">
        <f t="shared" ca="1" si="163"/>
        <v>0</v>
      </c>
      <c r="CH83" s="19">
        <f t="shared" ca="1" si="163"/>
        <v>0</v>
      </c>
      <c r="CI83" s="19">
        <f t="shared" ca="1" si="163"/>
        <v>0</v>
      </c>
      <c r="CJ83" s="19">
        <f t="shared" ca="1" si="163"/>
        <v>0</v>
      </c>
      <c r="CK83" s="19">
        <f t="shared" ca="1" si="163"/>
        <v>0</v>
      </c>
      <c r="CL83" s="19">
        <f t="shared" ca="1" si="163"/>
        <v>0</v>
      </c>
      <c r="CM83" s="19">
        <f t="shared" ca="1" si="163"/>
        <v>0</v>
      </c>
      <c r="CN83" s="19">
        <f t="shared" ca="1" si="163"/>
        <v>0</v>
      </c>
      <c r="CO83" s="19">
        <f t="shared" ca="1" si="163"/>
        <v>0</v>
      </c>
      <c r="CP83" s="19">
        <f t="shared" ca="1" si="163"/>
        <v>0</v>
      </c>
      <c r="CQ83" s="19">
        <f t="shared" ca="1" si="163"/>
        <v>0</v>
      </c>
      <c r="CR83" s="19">
        <f t="shared" ca="1" si="163"/>
        <v>0</v>
      </c>
    </row>
    <row r="84" spans="2:97" x14ac:dyDescent="0.3">
      <c r="B84" s="49" t="s">
        <v>114</v>
      </c>
      <c r="C84" s="50">
        <f>C82+C83</f>
        <v>1</v>
      </c>
      <c r="D84" s="22">
        <f ca="1">D82+D83</f>
        <v>43308735.824777648</v>
      </c>
      <c r="E84" s="1"/>
      <c r="F84" s="37" t="str">
        <f t="shared" ca="1" si="161"/>
        <v>OK</v>
      </c>
      <c r="G84" s="22">
        <f ca="1">SUM(G82:G83)</f>
        <v>-23075000</v>
      </c>
      <c r="H84" s="22">
        <f t="shared" ref="H84:BS84" ca="1" si="164">SUM(H82:H83)</f>
        <v>-2875000</v>
      </c>
      <c r="I84" s="22">
        <f t="shared" ca="1" si="164"/>
        <v>-2875000</v>
      </c>
      <c r="J84" s="22">
        <f t="shared" ca="1" si="164"/>
        <v>-2875000</v>
      </c>
      <c r="K84" s="22">
        <f t="shared" ca="1" si="164"/>
        <v>-2875000</v>
      </c>
      <c r="L84" s="22">
        <f t="shared" ca="1" si="164"/>
        <v>-2875000</v>
      </c>
      <c r="M84" s="22">
        <f t="shared" ca="1" si="164"/>
        <v>-2875000</v>
      </c>
      <c r="N84" s="22">
        <f t="shared" ca="1" si="164"/>
        <v>-2583735.8247776404</v>
      </c>
      <c r="O84" s="22">
        <f t="shared" ca="1" si="164"/>
        <v>0</v>
      </c>
      <c r="P84" s="22">
        <f t="shared" ca="1" si="164"/>
        <v>0</v>
      </c>
      <c r="Q84" s="22">
        <f t="shared" ca="1" si="164"/>
        <v>0</v>
      </c>
      <c r="R84" s="22">
        <f t="shared" ca="1" si="164"/>
        <v>0</v>
      </c>
      <c r="S84" s="22">
        <f t="shared" ca="1" si="164"/>
        <v>0</v>
      </c>
      <c r="T84" s="22">
        <f t="shared" ca="1" si="164"/>
        <v>0</v>
      </c>
      <c r="U84" s="22">
        <f t="shared" ca="1" si="164"/>
        <v>0</v>
      </c>
      <c r="V84" s="22">
        <f t="shared" ca="1" si="164"/>
        <v>0</v>
      </c>
      <c r="W84" s="22">
        <f t="shared" ca="1" si="164"/>
        <v>0</v>
      </c>
      <c r="X84" s="22">
        <f t="shared" ca="1" si="164"/>
        <v>0</v>
      </c>
      <c r="Y84" s="22">
        <f t="shared" ca="1" si="164"/>
        <v>0</v>
      </c>
      <c r="Z84" s="22">
        <f t="shared" ca="1" si="164"/>
        <v>0</v>
      </c>
      <c r="AA84" s="22">
        <f t="shared" ca="1" si="164"/>
        <v>0</v>
      </c>
      <c r="AB84" s="22">
        <f t="shared" ca="1" si="164"/>
        <v>0</v>
      </c>
      <c r="AC84" s="22">
        <f t="shared" ca="1" si="164"/>
        <v>0</v>
      </c>
      <c r="AD84" s="22">
        <f t="shared" ca="1" si="164"/>
        <v>0</v>
      </c>
      <c r="AE84" s="22">
        <f t="shared" ca="1" si="164"/>
        <v>-133333.33333333334</v>
      </c>
      <c r="AF84" s="22">
        <f t="shared" ca="1" si="164"/>
        <v>-133333.33333333334</v>
      </c>
      <c r="AG84" s="22">
        <f t="shared" ca="1" si="164"/>
        <v>-133333.33333333334</v>
      </c>
      <c r="AH84" s="22">
        <f t="shared" ca="1" si="164"/>
        <v>0</v>
      </c>
      <c r="AI84" s="22">
        <f t="shared" ca="1" si="164"/>
        <v>0</v>
      </c>
      <c r="AJ84" s="22">
        <f t="shared" ca="1" si="164"/>
        <v>0</v>
      </c>
      <c r="AK84" s="22">
        <f t="shared" ca="1" si="164"/>
        <v>0</v>
      </c>
      <c r="AL84" s="22">
        <f t="shared" ca="1" si="164"/>
        <v>0</v>
      </c>
      <c r="AM84" s="22">
        <f t="shared" ca="1" si="164"/>
        <v>0</v>
      </c>
      <c r="AN84" s="22">
        <f t="shared" ca="1" si="164"/>
        <v>0</v>
      </c>
      <c r="AO84" s="22">
        <f t="shared" ca="1" si="164"/>
        <v>0</v>
      </c>
      <c r="AP84" s="22">
        <f t="shared" ca="1" si="164"/>
        <v>0</v>
      </c>
      <c r="AQ84" s="22">
        <f t="shared" ca="1" si="164"/>
        <v>0</v>
      </c>
      <c r="AR84" s="22">
        <f t="shared" ca="1" si="164"/>
        <v>0</v>
      </c>
      <c r="AS84" s="22">
        <f t="shared" ca="1" si="164"/>
        <v>0</v>
      </c>
      <c r="AT84" s="22">
        <f t="shared" ca="1" si="164"/>
        <v>0</v>
      </c>
      <c r="AU84" s="22">
        <f t="shared" ca="1" si="164"/>
        <v>0</v>
      </c>
      <c r="AV84" s="22">
        <f t="shared" ca="1" si="164"/>
        <v>0</v>
      </c>
      <c r="AW84" s="22">
        <f t="shared" ca="1" si="164"/>
        <v>0</v>
      </c>
      <c r="AX84" s="22">
        <f t="shared" ca="1" si="164"/>
        <v>0</v>
      </c>
      <c r="AY84" s="22">
        <f t="shared" ca="1" si="164"/>
        <v>0</v>
      </c>
      <c r="AZ84" s="22">
        <f t="shared" ca="1" si="164"/>
        <v>0</v>
      </c>
      <c r="BA84" s="22">
        <f t="shared" ca="1" si="164"/>
        <v>0</v>
      </c>
      <c r="BB84" s="22">
        <f t="shared" ca="1" si="164"/>
        <v>0</v>
      </c>
      <c r="BC84" s="22">
        <f t="shared" ca="1" si="164"/>
        <v>0</v>
      </c>
      <c r="BD84" s="22">
        <f t="shared" ca="1" si="164"/>
        <v>0</v>
      </c>
      <c r="BE84" s="22">
        <f t="shared" ca="1" si="164"/>
        <v>0</v>
      </c>
      <c r="BF84" s="22">
        <f t="shared" ca="1" si="164"/>
        <v>0</v>
      </c>
      <c r="BG84" s="22">
        <f t="shared" ca="1" si="164"/>
        <v>0</v>
      </c>
      <c r="BH84" s="22">
        <f t="shared" ca="1" si="164"/>
        <v>0</v>
      </c>
      <c r="BI84" s="22">
        <f t="shared" ca="1" si="164"/>
        <v>0</v>
      </c>
      <c r="BJ84" s="22">
        <f t="shared" ca="1" si="164"/>
        <v>0</v>
      </c>
      <c r="BK84" s="22">
        <f t="shared" ca="1" si="164"/>
        <v>0</v>
      </c>
      <c r="BL84" s="22">
        <f t="shared" ca="1" si="164"/>
        <v>0</v>
      </c>
      <c r="BM84" s="22">
        <f t="shared" ca="1" si="164"/>
        <v>0</v>
      </c>
      <c r="BN84" s="22">
        <f t="shared" ca="1" si="164"/>
        <v>0</v>
      </c>
      <c r="BO84" s="22">
        <f t="shared" ca="1" si="164"/>
        <v>0</v>
      </c>
      <c r="BP84" s="22">
        <f t="shared" ca="1" si="164"/>
        <v>0</v>
      </c>
      <c r="BQ84" s="22">
        <f t="shared" ca="1" si="164"/>
        <v>0</v>
      </c>
      <c r="BR84" s="22">
        <f t="shared" ca="1" si="164"/>
        <v>0</v>
      </c>
      <c r="BS84" s="22">
        <f t="shared" ca="1" si="164"/>
        <v>0</v>
      </c>
      <c r="BT84" s="22">
        <f t="shared" ref="BT84:CR84" ca="1" si="165">SUM(BT82:BT83)</f>
        <v>0</v>
      </c>
      <c r="BU84" s="22">
        <f t="shared" ca="1" si="165"/>
        <v>0</v>
      </c>
      <c r="BV84" s="22">
        <f t="shared" ca="1" si="165"/>
        <v>0</v>
      </c>
      <c r="BW84" s="22">
        <f t="shared" ca="1" si="165"/>
        <v>0</v>
      </c>
      <c r="BX84" s="22">
        <f t="shared" ca="1" si="165"/>
        <v>0</v>
      </c>
      <c r="BY84" s="22">
        <f t="shared" ca="1" si="165"/>
        <v>0</v>
      </c>
      <c r="BZ84" s="22">
        <f t="shared" ca="1" si="165"/>
        <v>0</v>
      </c>
      <c r="CA84" s="22">
        <f t="shared" ca="1" si="165"/>
        <v>0</v>
      </c>
      <c r="CB84" s="22">
        <f t="shared" ca="1" si="165"/>
        <v>0</v>
      </c>
      <c r="CC84" s="22">
        <f t="shared" ca="1" si="165"/>
        <v>0</v>
      </c>
      <c r="CD84" s="22">
        <f t="shared" ca="1" si="165"/>
        <v>0</v>
      </c>
      <c r="CE84" s="22">
        <f t="shared" ca="1" si="165"/>
        <v>0</v>
      </c>
      <c r="CF84" s="22">
        <f t="shared" ca="1" si="165"/>
        <v>0</v>
      </c>
      <c r="CG84" s="22">
        <f t="shared" ca="1" si="165"/>
        <v>0</v>
      </c>
      <c r="CH84" s="22">
        <f t="shared" ca="1" si="165"/>
        <v>0</v>
      </c>
      <c r="CI84" s="22">
        <f t="shared" ca="1" si="165"/>
        <v>0</v>
      </c>
      <c r="CJ84" s="22">
        <f t="shared" ca="1" si="165"/>
        <v>0</v>
      </c>
      <c r="CK84" s="22">
        <f t="shared" ca="1" si="165"/>
        <v>0</v>
      </c>
      <c r="CL84" s="22">
        <f t="shared" ca="1" si="165"/>
        <v>0</v>
      </c>
      <c r="CM84" s="22">
        <f t="shared" ca="1" si="165"/>
        <v>0</v>
      </c>
      <c r="CN84" s="22">
        <f t="shared" ca="1" si="165"/>
        <v>0</v>
      </c>
      <c r="CO84" s="22">
        <f t="shared" ca="1" si="165"/>
        <v>0</v>
      </c>
      <c r="CP84" s="22">
        <f t="shared" ca="1" si="165"/>
        <v>0</v>
      </c>
      <c r="CQ84" s="22">
        <f t="shared" ca="1" si="165"/>
        <v>0</v>
      </c>
      <c r="CR84" s="22">
        <f t="shared" ca="1" si="165"/>
        <v>0</v>
      </c>
    </row>
    <row r="85" spans="2:97" x14ac:dyDescent="0.3"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</row>
    <row r="86" spans="2:97" s="33" customFormat="1" x14ac:dyDescent="0.3">
      <c r="B86" s="35" t="s">
        <v>116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</row>
    <row r="87" spans="2:97" x14ac:dyDescent="0.3">
      <c r="B87" s="21" t="s">
        <v>117</v>
      </c>
      <c r="C87" s="10"/>
      <c r="G87" s="19">
        <f>F91</f>
        <v>0</v>
      </c>
      <c r="H87" s="19">
        <f t="shared" ref="H87:BS87" ca="1" si="166">G91</f>
        <v>21921250</v>
      </c>
      <c r="I87" s="19">
        <f t="shared" ca="1" si="166"/>
        <v>24860506.202117227</v>
      </c>
      <c r="J87" s="19">
        <f t="shared" ca="1" si="166"/>
        <v>27827652.397718035</v>
      </c>
      <c r="K87" s="19">
        <f t="shared" ca="1" si="166"/>
        <v>30822953.229175534</v>
      </c>
      <c r="L87" s="19">
        <f t="shared" ca="1" si="166"/>
        <v>33846675.849999517</v>
      </c>
      <c r="M87" s="19">
        <f t="shared" ca="1" si="166"/>
        <v>36899089.948664114</v>
      </c>
      <c r="N87" s="19">
        <f t="shared" ca="1" si="166"/>
        <v>39980467.772661544</v>
      </c>
      <c r="O87" s="19">
        <f t="shared" ca="1" si="166"/>
        <v>42814383.18632286</v>
      </c>
      <c r="P87" s="19">
        <f t="shared" ca="1" si="166"/>
        <v>43220640.002999775</v>
      </c>
      <c r="Q87" s="19">
        <f t="shared" ca="1" si="166"/>
        <v>43630751.706488393</v>
      </c>
      <c r="R87" s="19">
        <f t="shared" ca="1" si="166"/>
        <v>44044754.875011466</v>
      </c>
      <c r="S87" s="19">
        <f t="shared" ca="1" si="166"/>
        <v>44462686.43387492</v>
      </c>
      <c r="T87" s="19">
        <f t="shared" ca="1" si="166"/>
        <v>44884583.658761255</v>
      </c>
      <c r="U87" s="19">
        <f t="shared" ca="1" si="166"/>
        <v>45310484.179054208</v>
      </c>
      <c r="V87" s="19">
        <f t="shared" ca="1" si="166"/>
        <v>45740425.981194958</v>
      </c>
      <c r="W87" s="19">
        <f t="shared" ca="1" si="166"/>
        <v>46174447.41207014</v>
      </c>
      <c r="X87" s="19">
        <f t="shared" ca="1" si="166"/>
        <v>46612587.18243207</v>
      </c>
      <c r="Y87" s="19">
        <f t="shared" ca="1" si="166"/>
        <v>47054884.370351367</v>
      </c>
      <c r="Z87" s="19">
        <f t="shared" ca="1" si="166"/>
        <v>47501378.424702376</v>
      </c>
      <c r="AA87" s="19">
        <f t="shared" ca="1" si="166"/>
        <v>47952109.168681644</v>
      </c>
      <c r="AB87" s="19">
        <f t="shared" ca="1" si="166"/>
        <v>48407116.803359784</v>
      </c>
      <c r="AC87" s="19">
        <f t="shared" ca="1" si="166"/>
        <v>48866441.911267042</v>
      </c>
      <c r="AD87" s="19">
        <f t="shared" ca="1" si="166"/>
        <v>49330125.460012883</v>
      </c>
      <c r="AE87" s="19">
        <f t="shared" ca="1" si="166"/>
        <v>49798208.80593995</v>
      </c>
      <c r="AF87" s="19">
        <f t="shared" ca="1" si="166"/>
        <v>50397400.364479311</v>
      </c>
      <c r="AG87" s="19">
        <f t="shared" ca="1" si="166"/>
        <v>51002277.527645797</v>
      </c>
      <c r="AH87" s="19">
        <f t="shared" ca="1" si="166"/>
        <v>51612894.244964428</v>
      </c>
      <c r="AI87" s="19">
        <f t="shared" ca="1" si="166"/>
        <v>52056575.59683571</v>
      </c>
      <c r="AJ87" s="19">
        <f t="shared" ca="1" si="166"/>
        <v>52504466.949183837</v>
      </c>
      <c r="AK87" s="19">
        <f t="shared" ca="1" si="166"/>
        <v>52886545.749831587</v>
      </c>
      <c r="AL87" s="19">
        <f t="shared" ca="1" si="166"/>
        <v>53272250.017103374</v>
      </c>
      <c r="AM87" s="19">
        <f t="shared" ca="1" si="166"/>
        <v>53661614.152301289</v>
      </c>
      <c r="AN87" s="19">
        <f t="shared" ca="1" si="166"/>
        <v>53671110.383154251</v>
      </c>
      <c r="AO87" s="19">
        <f t="shared" ca="1" si="166"/>
        <v>53680696.721775435</v>
      </c>
      <c r="AP87" s="19">
        <f t="shared" ca="1" si="166"/>
        <v>53690374.023178801</v>
      </c>
      <c r="AQ87" s="19">
        <f t="shared" ca="1" si="166"/>
        <v>53700143.150491349</v>
      </c>
      <c r="AR87" s="19">
        <f t="shared" ca="1" si="166"/>
        <v>53698498.100030117</v>
      </c>
      <c r="AS87" s="19">
        <f t="shared" ca="1" si="166"/>
        <v>53696837.440025687</v>
      </c>
      <c r="AT87" s="19">
        <f t="shared" ca="1" si="166"/>
        <v>53695161.022362344</v>
      </c>
      <c r="AU87" s="19">
        <f t="shared" ca="1" si="166"/>
        <v>53693468.697518922</v>
      </c>
      <c r="AV87" s="19">
        <f t="shared" ca="1" si="166"/>
        <v>53691760.314555481</v>
      </c>
      <c r="AW87" s="19">
        <f t="shared" ca="1" si="166"/>
        <v>53678528.846099846</v>
      </c>
      <c r="AX87" s="19">
        <f t="shared" ca="1" si="166"/>
        <v>53665171.826979816</v>
      </c>
      <c r="AY87" s="19">
        <f t="shared" ca="1" si="166"/>
        <v>53651688.065871134</v>
      </c>
      <c r="AZ87" s="19">
        <f t="shared" ca="1" si="166"/>
        <v>53638076.360145308</v>
      </c>
      <c r="BA87" s="19">
        <f t="shared" ca="1" si="166"/>
        <v>53624335.495762363</v>
      </c>
      <c r="BB87" s="19">
        <f t="shared" ca="1" si="166"/>
        <v>53610464.247162551</v>
      </c>
      <c r="BC87" s="19">
        <f t="shared" ca="1" si="166"/>
        <v>53596461.377157025</v>
      </c>
      <c r="BD87" s="19">
        <f t="shared" ca="1" si="166"/>
        <v>53570473.555567525</v>
      </c>
      <c r="BE87" s="19">
        <f t="shared" ca="1" si="166"/>
        <v>53544239.14092014</v>
      </c>
      <c r="BF87" s="19">
        <f t="shared" ca="1" si="166"/>
        <v>53517755.793344408</v>
      </c>
      <c r="BG87" s="19">
        <f t="shared" ca="1" si="166"/>
        <v>53491021.150767319</v>
      </c>
      <c r="BH87" s="19">
        <f t="shared" ca="1" si="166"/>
        <v>53464032.828702636</v>
      </c>
      <c r="BI87" s="19">
        <f t="shared" ca="1" si="166"/>
        <v>53424936.338788226</v>
      </c>
      <c r="BJ87" s="19">
        <f t="shared" ca="1" si="166"/>
        <v>53385468.87037655</v>
      </c>
      <c r="BK87" s="19">
        <f t="shared" ca="1" si="166"/>
        <v>53345626.903329462</v>
      </c>
      <c r="BL87" s="19">
        <f t="shared" ca="1" si="166"/>
        <v>53305406.884106964</v>
      </c>
      <c r="BM87" s="19">
        <f t="shared" ca="1" si="166"/>
        <v>53264805.225450233</v>
      </c>
      <c r="BN87" s="19">
        <f t="shared" ca="1" si="166"/>
        <v>53223818.306061707</v>
      </c>
      <c r="BO87" s="19">
        <f t="shared" ca="1" si="166"/>
        <v>53182442.470282078</v>
      </c>
      <c r="BP87" s="19">
        <f t="shared" ca="1" si="166"/>
        <v>53128466.384076744</v>
      </c>
      <c r="BQ87" s="19">
        <f t="shared" ca="1" si="166"/>
        <v>53073978.129965983</v>
      </c>
      <c r="BR87" s="19">
        <f t="shared" ca="1" si="166"/>
        <v>53018972.848094605</v>
      </c>
      <c r="BS87" s="19">
        <f t="shared" ca="1" si="166"/>
        <v>52963445.632493235</v>
      </c>
      <c r="BT87" s="19">
        <f t="shared" ref="BT87:CR87" ca="1" si="167">BS91</f>
        <v>52907391.530640788</v>
      </c>
      <c r="BU87" s="19">
        <f t="shared" ca="1" si="167"/>
        <v>52838597.899335243</v>
      </c>
      <c r="BV87" s="19">
        <f t="shared" ca="1" si="167"/>
        <v>52769151.499507017</v>
      </c>
      <c r="BW87" s="19">
        <f t="shared" ca="1" si="167"/>
        <v>52699046.137170769</v>
      </c>
      <c r="BX87" s="19">
        <f t="shared" ca="1" si="167"/>
        <v>52628275.559567712</v>
      </c>
      <c r="BY87" s="19">
        <f t="shared" ca="1" si="167"/>
        <v>52556833.454607919</v>
      </c>
      <c r="BZ87" s="19">
        <f t="shared" ca="1" si="167"/>
        <v>52484713.450307347</v>
      </c>
      <c r="CA87" s="19">
        <f t="shared" ca="1" si="167"/>
        <v>52411909.114219524</v>
      </c>
      <c r="CB87" s="19">
        <f t="shared" ca="1" si="167"/>
        <v>52325840.079863697</v>
      </c>
      <c r="CC87" s="19">
        <f t="shared" ca="1" si="167"/>
        <v>52238954.354262792</v>
      </c>
      <c r="CD87" s="19">
        <f t="shared" ca="1" si="167"/>
        <v>52151244.188002691</v>
      </c>
      <c r="CE87" s="19">
        <f t="shared" ca="1" si="167"/>
        <v>52062701.75813669</v>
      </c>
      <c r="CF87" s="19">
        <f t="shared" ca="1" si="167"/>
        <v>51973319.167487763</v>
      </c>
      <c r="CG87" s="19">
        <f t="shared" ca="1" si="167"/>
        <v>51870514.57094609</v>
      </c>
      <c r="CH87" s="19">
        <f t="shared" ca="1" si="167"/>
        <v>51766734.482875109</v>
      </c>
      <c r="CI87" s="19">
        <f t="shared" ca="1" si="167"/>
        <v>51661969.647037685</v>
      </c>
      <c r="CJ87" s="19">
        <f t="shared" ca="1" si="167"/>
        <v>51556210.719366178</v>
      </c>
      <c r="CK87" s="19">
        <f t="shared" ca="1" si="167"/>
        <v>51449448.267129011</v>
      </c>
      <c r="CL87" s="19">
        <f t="shared" ca="1" si="167"/>
        <v>51341672.768089376</v>
      </c>
      <c r="CM87" s="19">
        <f t="shared" ca="1" si="167"/>
        <v>51232874.609655932</v>
      </c>
      <c r="CN87" s="19">
        <f t="shared" ca="1" si="167"/>
        <v>51110092.998837382</v>
      </c>
      <c r="CO87" s="19">
        <f t="shared" ca="1" si="167"/>
        <v>50986146.3387376</v>
      </c>
      <c r="CP87" s="19">
        <f t="shared" ca="1" si="167"/>
        <v>50861023.574445195</v>
      </c>
      <c r="CQ87" s="19">
        <f t="shared" ca="1" si="167"/>
        <v>50734713.54615102</v>
      </c>
      <c r="CR87" s="19">
        <f t="shared" ca="1" si="167"/>
        <v>50607204.988152802</v>
      </c>
    </row>
    <row r="88" spans="2:97" x14ac:dyDescent="0.3">
      <c r="B88" s="21" t="s">
        <v>118</v>
      </c>
      <c r="C88" s="75">
        <v>0.12</v>
      </c>
      <c r="D88" s="5"/>
      <c r="G88" s="19">
        <f>G87*((1+$C$88)^(1/12)-1)</f>
        <v>0</v>
      </c>
      <c r="H88" s="19">
        <f t="shared" ref="H88:BS88" ca="1" si="168">H87*((1+$C$88)^(1/12)-1)</f>
        <v>208006.20211722859</v>
      </c>
      <c r="I88" s="19">
        <f t="shared" ca="1" si="168"/>
        <v>235896.19560080793</v>
      </c>
      <c r="J88" s="19">
        <f t="shared" ca="1" si="168"/>
        <v>264050.83145749982</v>
      </c>
      <c r="K88" s="19">
        <f t="shared" ca="1" si="168"/>
        <v>292472.6208239845</v>
      </c>
      <c r="L88" s="19">
        <f t="shared" ca="1" si="168"/>
        <v>321164.09866459802</v>
      </c>
      <c r="M88" s="19">
        <f t="shared" ca="1" si="168"/>
        <v>350127.82399742835</v>
      </c>
      <c r="N88" s="19">
        <f t="shared" ca="1" si="168"/>
        <v>379366.380122556</v>
      </c>
      <c r="O88" s="19">
        <f t="shared" ca="1" si="168"/>
        <v>406256.81667691149</v>
      </c>
      <c r="P88" s="19">
        <f t="shared" ca="1" si="168"/>
        <v>410111.70348862163</v>
      </c>
      <c r="Q88" s="19">
        <f t="shared" ca="1" si="168"/>
        <v>414003.16852307424</v>
      </c>
      <c r="R88" s="19">
        <f t="shared" ca="1" si="168"/>
        <v>417931.55886345095</v>
      </c>
      <c r="S88" s="19">
        <f t="shared" ca="1" si="168"/>
        <v>421897.2248863338</v>
      </c>
      <c r="T88" s="19">
        <f t="shared" ca="1" si="168"/>
        <v>425900.52029295545</v>
      </c>
      <c r="U88" s="19">
        <f t="shared" ca="1" si="168"/>
        <v>429941.80214074644</v>
      </c>
      <c r="V88" s="19">
        <f t="shared" ca="1" si="168"/>
        <v>434021.43087518151</v>
      </c>
      <c r="W88" s="19">
        <f t="shared" ca="1" si="168"/>
        <v>438139.77036192757</v>
      </c>
      <c r="X88" s="19">
        <f t="shared" ca="1" si="168"/>
        <v>442297.18791929766</v>
      </c>
      <c r="Y88" s="19">
        <f t="shared" ca="1" si="168"/>
        <v>446494.05435101222</v>
      </c>
      <c r="Z88" s="19">
        <f t="shared" ca="1" si="168"/>
        <v>450730.74397927144</v>
      </c>
      <c r="AA88" s="19">
        <f t="shared" ca="1" si="168"/>
        <v>455007.63467814127</v>
      </c>
      <c r="AB88" s="19">
        <f t="shared" ca="1" si="168"/>
        <v>459325.10790725658</v>
      </c>
      <c r="AC88" s="19">
        <f t="shared" ca="1" si="168"/>
        <v>463683.54874584352</v>
      </c>
      <c r="AD88" s="19">
        <f t="shared" ca="1" si="168"/>
        <v>468083.34592706547</v>
      </c>
      <c r="AE88" s="19">
        <f t="shared" ca="1" si="168"/>
        <v>472524.89187269419</v>
      </c>
      <c r="AF88" s="19">
        <f t="shared" ca="1" si="168"/>
        <v>478210.49649982428</v>
      </c>
      <c r="AG88" s="19">
        <f t="shared" ca="1" si="168"/>
        <v>483950.0506519691</v>
      </c>
      <c r="AH88" s="19">
        <f t="shared" ca="1" si="168"/>
        <v>489744.0662450004</v>
      </c>
      <c r="AI88" s="19">
        <f t="shared" ca="1" si="168"/>
        <v>493954.06672184286</v>
      </c>
      <c r="AJ88" s="19">
        <f t="shared" ca="1" si="168"/>
        <v>498204.01502146461</v>
      </c>
      <c r="AK88" s="19">
        <f t="shared" ca="1" si="168"/>
        <v>501829.48164550494</v>
      </c>
      <c r="AL88" s="19">
        <f t="shared" ca="1" si="168"/>
        <v>505489.34957163205</v>
      </c>
      <c r="AM88" s="19">
        <f t="shared" ca="1" si="168"/>
        <v>509183.94522667804</v>
      </c>
      <c r="AN88" s="19">
        <f t="shared" ca="1" si="168"/>
        <v>509274.05299490079</v>
      </c>
      <c r="AO88" s="19">
        <f t="shared" ca="1" si="168"/>
        <v>509365.01577707799</v>
      </c>
      <c r="AP88" s="19">
        <f t="shared" ca="1" si="168"/>
        <v>509456.84168626013</v>
      </c>
      <c r="AQ88" s="19">
        <f t="shared" ca="1" si="168"/>
        <v>509549.53891248046</v>
      </c>
      <c r="AR88" s="19">
        <f t="shared" ca="1" si="168"/>
        <v>509533.92936928687</v>
      </c>
      <c r="AS88" s="19">
        <f t="shared" ca="1" si="168"/>
        <v>509518.17171037011</v>
      </c>
      <c r="AT88" s="19">
        <f t="shared" ca="1" si="168"/>
        <v>509502.26453029073</v>
      </c>
      <c r="AU88" s="19">
        <f t="shared" ca="1" si="168"/>
        <v>509486.2064102735</v>
      </c>
      <c r="AV88" s="19">
        <f t="shared" ca="1" si="168"/>
        <v>509469.99591808044</v>
      </c>
      <c r="AW88" s="19">
        <f t="shared" ca="1" si="168"/>
        <v>509344.44525368442</v>
      </c>
      <c r="AX88" s="19">
        <f t="shared" ca="1" si="168"/>
        <v>509217.70326503122</v>
      </c>
      <c r="AY88" s="19">
        <f t="shared" ca="1" si="168"/>
        <v>509089.75864789152</v>
      </c>
      <c r="AZ88" s="19">
        <f t="shared" ca="1" si="168"/>
        <v>508960.59999077267</v>
      </c>
      <c r="BA88" s="19">
        <f t="shared" ca="1" si="168"/>
        <v>508830.21577390074</v>
      </c>
      <c r="BB88" s="19">
        <f t="shared" ca="1" si="168"/>
        <v>508698.59436819301</v>
      </c>
      <c r="BC88" s="19">
        <f t="shared" ca="1" si="168"/>
        <v>508565.72403422068</v>
      </c>
      <c r="BD88" s="19">
        <f t="shared" ca="1" si="168"/>
        <v>508319.13097633701</v>
      </c>
      <c r="BE88" s="19">
        <f t="shared" ca="1" si="168"/>
        <v>508070.198047988</v>
      </c>
      <c r="BF88" s="19">
        <f t="shared" ca="1" si="168"/>
        <v>507818.9030466273</v>
      </c>
      <c r="BG88" s="19">
        <f t="shared" ca="1" si="168"/>
        <v>507565.22355903318</v>
      </c>
      <c r="BH88" s="19">
        <f t="shared" ca="1" si="168"/>
        <v>507309.13695930957</v>
      </c>
      <c r="BI88" s="19">
        <f t="shared" ca="1" si="168"/>
        <v>506938.15846204275</v>
      </c>
      <c r="BJ88" s="19">
        <f t="shared" ca="1" si="168"/>
        <v>506563.65982663212</v>
      </c>
      <c r="BK88" s="19">
        <f t="shared" ca="1" si="168"/>
        <v>506185.60765121586</v>
      </c>
      <c r="BL88" s="19">
        <f t="shared" ca="1" si="168"/>
        <v>505803.96821698861</v>
      </c>
      <c r="BM88" s="19">
        <f t="shared" ca="1" si="168"/>
        <v>505418.70748519426</v>
      </c>
      <c r="BN88" s="19">
        <f t="shared" ca="1" si="168"/>
        <v>505029.79109409009</v>
      </c>
      <c r="BO88" s="19">
        <f t="shared" ca="1" si="168"/>
        <v>504637.18435588188</v>
      </c>
      <c r="BP88" s="19">
        <f t="shared" ca="1" si="168"/>
        <v>504125.01645046024</v>
      </c>
      <c r="BQ88" s="19">
        <f t="shared" ca="1" si="168"/>
        <v>503607.98868983629</v>
      </c>
      <c r="BR88" s="19">
        <f t="shared" ca="1" si="168"/>
        <v>503086.05495985044</v>
      </c>
      <c r="BS88" s="19">
        <f t="shared" ca="1" si="168"/>
        <v>502559.16870877508</v>
      </c>
      <c r="BT88" s="19">
        <f t="shared" ref="BT88:CR88" ca="1" si="169">BT87*((1+$C$88)^(1/12)-1)</f>
        <v>502027.28294316318</v>
      </c>
      <c r="BU88" s="19">
        <f t="shared" ca="1" si="169"/>
        <v>501374.51442048681</v>
      </c>
      <c r="BV88" s="19">
        <f t="shared" ca="1" si="169"/>
        <v>500715.55191246449</v>
      </c>
      <c r="BW88" s="19">
        <f t="shared" ca="1" si="169"/>
        <v>500050.33664565196</v>
      </c>
      <c r="BX88" s="19">
        <f t="shared" ca="1" si="169"/>
        <v>499378.80928891571</v>
      </c>
      <c r="BY88" s="19">
        <f t="shared" ca="1" si="169"/>
        <v>498700.90994814149</v>
      </c>
      <c r="BZ88" s="19">
        <f t="shared" ca="1" si="169"/>
        <v>498016.57816089212</v>
      </c>
      <c r="CA88" s="19">
        <f t="shared" ca="1" si="169"/>
        <v>497325.75289101497</v>
      </c>
      <c r="CB88" s="19">
        <f t="shared" ca="1" si="169"/>
        <v>496509.06164593302</v>
      </c>
      <c r="CC88" s="19">
        <f t="shared" ca="1" si="169"/>
        <v>495684.62098673498</v>
      </c>
      <c r="CD88" s="19">
        <f t="shared" ca="1" si="169"/>
        <v>494852.35738083505</v>
      </c>
      <c r="CE88" s="19">
        <f t="shared" ca="1" si="169"/>
        <v>494012.19659791171</v>
      </c>
      <c r="CF88" s="19">
        <f t="shared" ca="1" si="169"/>
        <v>493164.06370328745</v>
      </c>
      <c r="CG88" s="19">
        <f t="shared" ca="1" si="169"/>
        <v>492188.57217398018</v>
      </c>
      <c r="CH88" s="19">
        <f t="shared" ca="1" si="169"/>
        <v>491203.82440754183</v>
      </c>
      <c r="CI88" s="19">
        <f t="shared" ca="1" si="169"/>
        <v>490209.73257345497</v>
      </c>
      <c r="CJ88" s="19">
        <f t="shared" ca="1" si="169"/>
        <v>489206.20800779649</v>
      </c>
      <c r="CK88" s="19">
        <f t="shared" ca="1" si="169"/>
        <v>488193.1612053297</v>
      </c>
      <c r="CL88" s="19">
        <f t="shared" ca="1" si="169"/>
        <v>487170.50181152124</v>
      </c>
      <c r="CM88" s="19">
        <f t="shared" ca="1" si="169"/>
        <v>486138.1386144823</v>
      </c>
      <c r="CN88" s="19">
        <f t="shared" ca="1" si="169"/>
        <v>484973.08933325054</v>
      </c>
      <c r="CO88" s="19">
        <f t="shared" ca="1" si="169"/>
        <v>483796.98514063057</v>
      </c>
      <c r="CP88" s="19">
        <f t="shared" ca="1" si="169"/>
        <v>482609.72113885731</v>
      </c>
      <c r="CQ88" s="19">
        <f t="shared" ca="1" si="169"/>
        <v>481411.19143481256</v>
      </c>
      <c r="CR88" s="19">
        <f t="shared" ca="1" si="169"/>
        <v>480201.2891305802</v>
      </c>
    </row>
    <row r="89" spans="2:97" x14ac:dyDescent="0.3">
      <c r="B89" s="21" t="s">
        <v>119</v>
      </c>
      <c r="C89" s="10"/>
      <c r="G89" s="19">
        <f ca="1">-G82</f>
        <v>21921250</v>
      </c>
      <c r="H89" s="19">
        <f t="shared" ref="H89:BS89" ca="1" si="170">-H82</f>
        <v>2731250</v>
      </c>
      <c r="I89" s="19">
        <f t="shared" ca="1" si="170"/>
        <v>2731250</v>
      </c>
      <c r="J89" s="19">
        <f t="shared" ca="1" si="170"/>
        <v>2731250</v>
      </c>
      <c r="K89" s="19">
        <f t="shared" ca="1" si="170"/>
        <v>2731250</v>
      </c>
      <c r="L89" s="19">
        <f t="shared" ca="1" si="170"/>
        <v>2731250</v>
      </c>
      <c r="M89" s="19">
        <f t="shared" ca="1" si="170"/>
        <v>2731250</v>
      </c>
      <c r="N89" s="19">
        <f t="shared" ca="1" si="170"/>
        <v>2454549.0335387583</v>
      </c>
      <c r="O89" s="19">
        <f t="shared" ca="1" si="170"/>
        <v>0</v>
      </c>
      <c r="P89" s="19">
        <f t="shared" ca="1" si="170"/>
        <v>0</v>
      </c>
      <c r="Q89" s="19">
        <f t="shared" ca="1" si="170"/>
        <v>0</v>
      </c>
      <c r="R89" s="19">
        <f t="shared" ca="1" si="170"/>
        <v>0</v>
      </c>
      <c r="S89" s="19">
        <f t="shared" ca="1" si="170"/>
        <v>0</v>
      </c>
      <c r="T89" s="19">
        <f t="shared" ca="1" si="170"/>
        <v>0</v>
      </c>
      <c r="U89" s="19">
        <f t="shared" ca="1" si="170"/>
        <v>0</v>
      </c>
      <c r="V89" s="19">
        <f t="shared" ca="1" si="170"/>
        <v>0</v>
      </c>
      <c r="W89" s="19">
        <f t="shared" ca="1" si="170"/>
        <v>0</v>
      </c>
      <c r="X89" s="19">
        <f t="shared" ca="1" si="170"/>
        <v>0</v>
      </c>
      <c r="Y89" s="19">
        <f t="shared" ca="1" si="170"/>
        <v>0</v>
      </c>
      <c r="Z89" s="19">
        <f t="shared" ca="1" si="170"/>
        <v>0</v>
      </c>
      <c r="AA89" s="19">
        <f t="shared" ca="1" si="170"/>
        <v>0</v>
      </c>
      <c r="AB89" s="19">
        <f t="shared" ca="1" si="170"/>
        <v>0</v>
      </c>
      <c r="AC89" s="19">
        <f t="shared" ca="1" si="170"/>
        <v>0</v>
      </c>
      <c r="AD89" s="19">
        <f t="shared" ca="1" si="170"/>
        <v>0</v>
      </c>
      <c r="AE89" s="19">
        <f t="shared" ca="1" si="170"/>
        <v>126666.66666666667</v>
      </c>
      <c r="AF89" s="19">
        <f t="shared" ca="1" si="170"/>
        <v>126666.66666666667</v>
      </c>
      <c r="AG89" s="19">
        <f t="shared" ca="1" si="170"/>
        <v>126666.66666666667</v>
      </c>
      <c r="AH89" s="19">
        <f t="shared" ca="1" si="170"/>
        <v>0</v>
      </c>
      <c r="AI89" s="19">
        <f t="shared" ca="1" si="170"/>
        <v>0</v>
      </c>
      <c r="AJ89" s="19">
        <f t="shared" ca="1" si="170"/>
        <v>0</v>
      </c>
      <c r="AK89" s="19">
        <f t="shared" ca="1" si="170"/>
        <v>0</v>
      </c>
      <c r="AL89" s="19">
        <f t="shared" ca="1" si="170"/>
        <v>0</v>
      </c>
      <c r="AM89" s="19">
        <f t="shared" ca="1" si="170"/>
        <v>0</v>
      </c>
      <c r="AN89" s="19">
        <f t="shared" ca="1" si="170"/>
        <v>0</v>
      </c>
      <c r="AO89" s="19">
        <f t="shared" ca="1" si="170"/>
        <v>0</v>
      </c>
      <c r="AP89" s="19">
        <f t="shared" ca="1" si="170"/>
        <v>0</v>
      </c>
      <c r="AQ89" s="19">
        <f t="shared" ca="1" si="170"/>
        <v>0</v>
      </c>
      <c r="AR89" s="19">
        <f t="shared" ca="1" si="170"/>
        <v>0</v>
      </c>
      <c r="AS89" s="19">
        <f t="shared" ca="1" si="170"/>
        <v>0</v>
      </c>
      <c r="AT89" s="19">
        <f t="shared" ca="1" si="170"/>
        <v>0</v>
      </c>
      <c r="AU89" s="19">
        <f t="shared" ca="1" si="170"/>
        <v>0</v>
      </c>
      <c r="AV89" s="19">
        <f t="shared" ca="1" si="170"/>
        <v>0</v>
      </c>
      <c r="AW89" s="19">
        <f t="shared" ca="1" si="170"/>
        <v>0</v>
      </c>
      <c r="AX89" s="19">
        <f t="shared" ca="1" si="170"/>
        <v>0</v>
      </c>
      <c r="AY89" s="19">
        <f t="shared" ca="1" si="170"/>
        <v>0</v>
      </c>
      <c r="AZ89" s="19">
        <f t="shared" ca="1" si="170"/>
        <v>0</v>
      </c>
      <c r="BA89" s="19">
        <f t="shared" ca="1" si="170"/>
        <v>0</v>
      </c>
      <c r="BB89" s="19">
        <f t="shared" ca="1" si="170"/>
        <v>0</v>
      </c>
      <c r="BC89" s="19">
        <f t="shared" ca="1" si="170"/>
        <v>0</v>
      </c>
      <c r="BD89" s="19">
        <f t="shared" ca="1" si="170"/>
        <v>0</v>
      </c>
      <c r="BE89" s="19">
        <f t="shared" ca="1" si="170"/>
        <v>0</v>
      </c>
      <c r="BF89" s="19">
        <f t="shared" ca="1" si="170"/>
        <v>0</v>
      </c>
      <c r="BG89" s="19">
        <f t="shared" ca="1" si="170"/>
        <v>0</v>
      </c>
      <c r="BH89" s="19">
        <f t="shared" ca="1" si="170"/>
        <v>0</v>
      </c>
      <c r="BI89" s="19">
        <f t="shared" ca="1" si="170"/>
        <v>0</v>
      </c>
      <c r="BJ89" s="19">
        <f t="shared" ca="1" si="170"/>
        <v>0</v>
      </c>
      <c r="BK89" s="19">
        <f t="shared" ca="1" si="170"/>
        <v>0</v>
      </c>
      <c r="BL89" s="19">
        <f t="shared" ca="1" si="170"/>
        <v>0</v>
      </c>
      <c r="BM89" s="19">
        <f t="shared" ca="1" si="170"/>
        <v>0</v>
      </c>
      <c r="BN89" s="19">
        <f t="shared" ca="1" si="170"/>
        <v>0</v>
      </c>
      <c r="BO89" s="19">
        <f t="shared" ca="1" si="170"/>
        <v>0</v>
      </c>
      <c r="BP89" s="19">
        <f t="shared" ca="1" si="170"/>
        <v>0</v>
      </c>
      <c r="BQ89" s="19">
        <f t="shared" ca="1" si="170"/>
        <v>0</v>
      </c>
      <c r="BR89" s="19">
        <f t="shared" ca="1" si="170"/>
        <v>0</v>
      </c>
      <c r="BS89" s="19">
        <f t="shared" ca="1" si="170"/>
        <v>0</v>
      </c>
      <c r="BT89" s="19">
        <f t="shared" ref="BT89:CR89" ca="1" si="171">-BT82</f>
        <v>0</v>
      </c>
      <c r="BU89" s="19">
        <f t="shared" ca="1" si="171"/>
        <v>0</v>
      </c>
      <c r="BV89" s="19">
        <f t="shared" ca="1" si="171"/>
        <v>0</v>
      </c>
      <c r="BW89" s="19">
        <f t="shared" ca="1" si="171"/>
        <v>0</v>
      </c>
      <c r="BX89" s="19">
        <f t="shared" ca="1" si="171"/>
        <v>0</v>
      </c>
      <c r="BY89" s="19">
        <f t="shared" ca="1" si="171"/>
        <v>0</v>
      </c>
      <c r="BZ89" s="19">
        <f t="shared" ca="1" si="171"/>
        <v>0</v>
      </c>
      <c r="CA89" s="19">
        <f t="shared" ca="1" si="171"/>
        <v>0</v>
      </c>
      <c r="CB89" s="19">
        <f t="shared" ca="1" si="171"/>
        <v>0</v>
      </c>
      <c r="CC89" s="19">
        <f t="shared" ca="1" si="171"/>
        <v>0</v>
      </c>
      <c r="CD89" s="19">
        <f t="shared" ca="1" si="171"/>
        <v>0</v>
      </c>
      <c r="CE89" s="19">
        <f t="shared" ca="1" si="171"/>
        <v>0</v>
      </c>
      <c r="CF89" s="19">
        <f t="shared" ca="1" si="171"/>
        <v>0</v>
      </c>
      <c r="CG89" s="19">
        <f t="shared" ca="1" si="171"/>
        <v>0</v>
      </c>
      <c r="CH89" s="19">
        <f t="shared" ca="1" si="171"/>
        <v>0</v>
      </c>
      <c r="CI89" s="19">
        <f t="shared" ca="1" si="171"/>
        <v>0</v>
      </c>
      <c r="CJ89" s="19">
        <f t="shared" ca="1" si="171"/>
        <v>0</v>
      </c>
      <c r="CK89" s="19">
        <f t="shared" ca="1" si="171"/>
        <v>0</v>
      </c>
      <c r="CL89" s="19">
        <f t="shared" ca="1" si="171"/>
        <v>0</v>
      </c>
      <c r="CM89" s="19">
        <f t="shared" ca="1" si="171"/>
        <v>0</v>
      </c>
      <c r="CN89" s="19">
        <f t="shared" ca="1" si="171"/>
        <v>0</v>
      </c>
      <c r="CO89" s="19">
        <f t="shared" ca="1" si="171"/>
        <v>0</v>
      </c>
      <c r="CP89" s="19">
        <f t="shared" ca="1" si="171"/>
        <v>0</v>
      </c>
      <c r="CQ89" s="19">
        <f t="shared" ca="1" si="171"/>
        <v>0</v>
      </c>
      <c r="CR89" s="19">
        <f t="shared" ca="1" si="171"/>
        <v>0</v>
      </c>
    </row>
    <row r="90" spans="2:97" x14ac:dyDescent="0.3">
      <c r="B90" s="21" t="s">
        <v>120</v>
      </c>
      <c r="C90" s="75">
        <v>0.95</v>
      </c>
      <c r="G90" s="19">
        <f ca="1">MIN(G87+G88,MAX(G73,0)*$C90)</f>
        <v>0</v>
      </c>
      <c r="H90" s="19">
        <f t="shared" ref="H90:BS90" ca="1" si="172">MIN(H87+H88,MAX(H73,0)*$C90)</f>
        <v>0</v>
      </c>
      <c r="I90" s="19">
        <f t="shared" ca="1" si="172"/>
        <v>0</v>
      </c>
      <c r="J90" s="19">
        <f t="shared" ca="1" si="172"/>
        <v>0</v>
      </c>
      <c r="K90" s="19">
        <f t="shared" ca="1" si="172"/>
        <v>0</v>
      </c>
      <c r="L90" s="19">
        <f t="shared" ca="1" si="172"/>
        <v>0</v>
      </c>
      <c r="M90" s="19">
        <f t="shared" ca="1" si="172"/>
        <v>0</v>
      </c>
      <c r="N90" s="19">
        <f t="shared" ca="1" si="172"/>
        <v>0</v>
      </c>
      <c r="O90" s="19">
        <f t="shared" ca="1" si="172"/>
        <v>0</v>
      </c>
      <c r="P90" s="19">
        <f t="shared" ca="1" si="172"/>
        <v>0</v>
      </c>
      <c r="Q90" s="19">
        <f t="shared" ca="1" si="172"/>
        <v>0</v>
      </c>
      <c r="R90" s="19">
        <f t="shared" ca="1" si="172"/>
        <v>0</v>
      </c>
      <c r="S90" s="19">
        <f t="shared" ca="1" si="172"/>
        <v>0</v>
      </c>
      <c r="T90" s="19">
        <f t="shared" ca="1" si="172"/>
        <v>0</v>
      </c>
      <c r="U90" s="19">
        <f t="shared" ca="1" si="172"/>
        <v>0</v>
      </c>
      <c r="V90" s="19">
        <f t="shared" ca="1" si="172"/>
        <v>0</v>
      </c>
      <c r="W90" s="19">
        <f t="shared" ca="1" si="172"/>
        <v>0</v>
      </c>
      <c r="X90" s="19">
        <f t="shared" ca="1" si="172"/>
        <v>0</v>
      </c>
      <c r="Y90" s="19">
        <f t="shared" ca="1" si="172"/>
        <v>0</v>
      </c>
      <c r="Z90" s="19">
        <f t="shared" ca="1" si="172"/>
        <v>0</v>
      </c>
      <c r="AA90" s="19">
        <f t="shared" ca="1" si="172"/>
        <v>0</v>
      </c>
      <c r="AB90" s="19">
        <f t="shared" ca="1" si="172"/>
        <v>0</v>
      </c>
      <c r="AC90" s="19">
        <f t="shared" ca="1" si="172"/>
        <v>0</v>
      </c>
      <c r="AD90" s="19">
        <f t="shared" ca="1" si="172"/>
        <v>0</v>
      </c>
      <c r="AE90" s="19">
        <f t="shared" ca="1" si="172"/>
        <v>0</v>
      </c>
      <c r="AF90" s="19">
        <f t="shared" ca="1" si="172"/>
        <v>0</v>
      </c>
      <c r="AG90" s="19">
        <f t="shared" ca="1" si="172"/>
        <v>0</v>
      </c>
      <c r="AH90" s="19">
        <f t="shared" ca="1" si="172"/>
        <v>46062.714373716153</v>
      </c>
      <c r="AI90" s="19">
        <f t="shared" ca="1" si="172"/>
        <v>46062.714373716153</v>
      </c>
      <c r="AJ90" s="19">
        <f t="shared" ca="1" si="172"/>
        <v>116125.21437371615</v>
      </c>
      <c r="AK90" s="19">
        <f t="shared" ca="1" si="172"/>
        <v>116125.21437371615</v>
      </c>
      <c r="AL90" s="19">
        <f t="shared" ca="1" si="172"/>
        <v>116125.21437371615</v>
      </c>
      <c r="AM90" s="19">
        <f t="shared" ca="1" si="172"/>
        <v>499687.71437371621</v>
      </c>
      <c r="AN90" s="19">
        <f t="shared" ca="1" si="172"/>
        <v>499687.71437371621</v>
      </c>
      <c r="AO90" s="19">
        <f t="shared" ca="1" si="172"/>
        <v>499687.71437371621</v>
      </c>
      <c r="AP90" s="19">
        <f t="shared" ca="1" si="172"/>
        <v>499687.71437371621</v>
      </c>
      <c r="AQ90" s="19">
        <f t="shared" ca="1" si="172"/>
        <v>511194.58937371621</v>
      </c>
      <c r="AR90" s="19">
        <f t="shared" ca="1" si="172"/>
        <v>511194.58937371621</v>
      </c>
      <c r="AS90" s="19">
        <f t="shared" ca="1" si="172"/>
        <v>511194.58937371621</v>
      </c>
      <c r="AT90" s="19">
        <f t="shared" ca="1" si="172"/>
        <v>511194.58937371621</v>
      </c>
      <c r="AU90" s="19">
        <f t="shared" ca="1" si="172"/>
        <v>511194.58937371621</v>
      </c>
      <c r="AV90" s="19">
        <f t="shared" ca="1" si="172"/>
        <v>522701.46437371621</v>
      </c>
      <c r="AW90" s="19">
        <f t="shared" ca="1" si="172"/>
        <v>522701.46437371621</v>
      </c>
      <c r="AX90" s="19">
        <f t="shared" ca="1" si="172"/>
        <v>522701.46437371621</v>
      </c>
      <c r="AY90" s="19">
        <f t="shared" ca="1" si="172"/>
        <v>522701.46437371621</v>
      </c>
      <c r="AZ90" s="19">
        <f t="shared" ca="1" si="172"/>
        <v>522701.46437371621</v>
      </c>
      <c r="BA90" s="19">
        <f t="shared" ca="1" si="172"/>
        <v>522701.46437371621</v>
      </c>
      <c r="BB90" s="19">
        <f t="shared" ca="1" si="172"/>
        <v>522701.46437371621</v>
      </c>
      <c r="BC90" s="19">
        <f t="shared" ca="1" si="172"/>
        <v>534553.5456237162</v>
      </c>
      <c r="BD90" s="19">
        <f t="shared" ca="1" si="172"/>
        <v>534553.5456237162</v>
      </c>
      <c r="BE90" s="19">
        <f t="shared" ca="1" si="172"/>
        <v>534553.5456237162</v>
      </c>
      <c r="BF90" s="19">
        <f t="shared" ca="1" si="172"/>
        <v>534553.5456237162</v>
      </c>
      <c r="BG90" s="19">
        <f t="shared" ca="1" si="172"/>
        <v>534553.5456237162</v>
      </c>
      <c r="BH90" s="19">
        <f t="shared" ca="1" si="172"/>
        <v>546405.62687371613</v>
      </c>
      <c r="BI90" s="19">
        <f t="shared" ca="1" si="172"/>
        <v>546405.62687371613</v>
      </c>
      <c r="BJ90" s="19">
        <f t="shared" ca="1" si="172"/>
        <v>546405.62687371613</v>
      </c>
      <c r="BK90" s="19">
        <f t="shared" ca="1" si="172"/>
        <v>546405.62687371613</v>
      </c>
      <c r="BL90" s="19">
        <f t="shared" ca="1" si="172"/>
        <v>546405.62687371613</v>
      </c>
      <c r="BM90" s="19">
        <f t="shared" ca="1" si="172"/>
        <v>546405.62687371613</v>
      </c>
      <c r="BN90" s="19">
        <f t="shared" ca="1" si="172"/>
        <v>546405.62687371613</v>
      </c>
      <c r="BO90" s="19">
        <f t="shared" ca="1" si="172"/>
        <v>558613.27056121605</v>
      </c>
      <c r="BP90" s="19">
        <f t="shared" ca="1" si="172"/>
        <v>558613.27056121605</v>
      </c>
      <c r="BQ90" s="19">
        <f t="shared" ca="1" si="172"/>
        <v>558613.27056121605</v>
      </c>
      <c r="BR90" s="19">
        <f t="shared" ca="1" si="172"/>
        <v>558613.27056121605</v>
      </c>
      <c r="BS90" s="19">
        <f t="shared" ca="1" si="172"/>
        <v>558613.27056121605</v>
      </c>
      <c r="BT90" s="19">
        <f t="shared" ref="BT90:CR90" ca="1" si="173">MIN(BT87+BT88,MAX(BT73,0)*$C90)</f>
        <v>570820.91424871597</v>
      </c>
      <c r="BU90" s="19">
        <f t="shared" ca="1" si="173"/>
        <v>570820.91424871597</v>
      </c>
      <c r="BV90" s="19">
        <f t="shared" ca="1" si="173"/>
        <v>570820.91424871597</v>
      </c>
      <c r="BW90" s="19">
        <f t="shared" ca="1" si="173"/>
        <v>570820.91424871597</v>
      </c>
      <c r="BX90" s="19">
        <f t="shared" ca="1" si="173"/>
        <v>570820.91424871597</v>
      </c>
      <c r="BY90" s="19">
        <f t="shared" ca="1" si="173"/>
        <v>570820.91424871597</v>
      </c>
      <c r="BZ90" s="19">
        <f t="shared" ca="1" si="173"/>
        <v>570820.91424871597</v>
      </c>
      <c r="CA90" s="19">
        <f t="shared" ca="1" si="173"/>
        <v>583394.78724684101</v>
      </c>
      <c r="CB90" s="19">
        <f t="shared" ca="1" si="173"/>
        <v>583394.78724684101</v>
      </c>
      <c r="CC90" s="19">
        <f t="shared" ca="1" si="173"/>
        <v>583394.78724684101</v>
      </c>
      <c r="CD90" s="19">
        <f t="shared" ca="1" si="173"/>
        <v>583394.78724684101</v>
      </c>
      <c r="CE90" s="19">
        <f t="shared" ca="1" si="173"/>
        <v>583394.78724684101</v>
      </c>
      <c r="CF90" s="19">
        <f t="shared" ca="1" si="173"/>
        <v>595968.66024496616</v>
      </c>
      <c r="CG90" s="19">
        <f t="shared" ca="1" si="173"/>
        <v>595968.66024496616</v>
      </c>
      <c r="CH90" s="19">
        <f t="shared" ca="1" si="173"/>
        <v>595968.66024496616</v>
      </c>
      <c r="CI90" s="19">
        <f t="shared" ca="1" si="173"/>
        <v>595968.66024496616</v>
      </c>
      <c r="CJ90" s="19">
        <f t="shared" ca="1" si="173"/>
        <v>595968.66024496616</v>
      </c>
      <c r="CK90" s="19">
        <f t="shared" ca="1" si="173"/>
        <v>595968.66024496616</v>
      </c>
      <c r="CL90" s="19">
        <f t="shared" ca="1" si="173"/>
        <v>595968.66024496616</v>
      </c>
      <c r="CM90" s="19">
        <f t="shared" ca="1" si="173"/>
        <v>608919.7494330348</v>
      </c>
      <c r="CN90" s="19">
        <f t="shared" ca="1" si="173"/>
        <v>608919.7494330348</v>
      </c>
      <c r="CO90" s="19">
        <f t="shared" ca="1" si="173"/>
        <v>608919.7494330348</v>
      </c>
      <c r="CP90" s="19">
        <f t="shared" ca="1" si="173"/>
        <v>608919.7494330348</v>
      </c>
      <c r="CQ90" s="19">
        <f t="shared" ca="1" si="173"/>
        <v>608919.7494330348</v>
      </c>
      <c r="CR90" s="19">
        <f t="shared" ca="1" si="173"/>
        <v>51087406.277283385</v>
      </c>
    </row>
    <row r="91" spans="2:97" x14ac:dyDescent="0.3">
      <c r="B91" s="21" t="s">
        <v>121</v>
      </c>
      <c r="C91" s="10"/>
      <c r="G91" s="19">
        <f ca="1">G87+G88+G89-G90</f>
        <v>21921250</v>
      </c>
      <c r="H91" s="19">
        <f t="shared" ref="H91:BS91" ca="1" si="174">H87+H88+H89-H90</f>
        <v>24860506.202117227</v>
      </c>
      <c r="I91" s="19">
        <f t="shared" ca="1" si="174"/>
        <v>27827652.397718035</v>
      </c>
      <c r="J91" s="19">
        <f t="shared" ca="1" si="174"/>
        <v>30822953.229175534</v>
      </c>
      <c r="K91" s="19">
        <f t="shared" ca="1" si="174"/>
        <v>33846675.849999517</v>
      </c>
      <c r="L91" s="19">
        <f t="shared" ca="1" si="174"/>
        <v>36899089.948664114</v>
      </c>
      <c r="M91" s="19">
        <f t="shared" ca="1" si="174"/>
        <v>39980467.772661544</v>
      </c>
      <c r="N91" s="19">
        <f t="shared" ca="1" si="174"/>
        <v>42814383.18632286</v>
      </c>
      <c r="O91" s="19">
        <f t="shared" ca="1" si="174"/>
        <v>43220640.002999775</v>
      </c>
      <c r="P91" s="19">
        <f t="shared" ca="1" si="174"/>
        <v>43630751.706488393</v>
      </c>
      <c r="Q91" s="19">
        <f t="shared" ca="1" si="174"/>
        <v>44044754.875011466</v>
      </c>
      <c r="R91" s="19">
        <f t="shared" ca="1" si="174"/>
        <v>44462686.43387492</v>
      </c>
      <c r="S91" s="19">
        <f t="shared" ca="1" si="174"/>
        <v>44884583.658761255</v>
      </c>
      <c r="T91" s="19">
        <f t="shared" ca="1" si="174"/>
        <v>45310484.179054208</v>
      </c>
      <c r="U91" s="19">
        <f t="shared" ca="1" si="174"/>
        <v>45740425.981194958</v>
      </c>
      <c r="V91" s="19">
        <f t="shared" ca="1" si="174"/>
        <v>46174447.41207014</v>
      </c>
      <c r="W91" s="19">
        <f t="shared" ca="1" si="174"/>
        <v>46612587.18243207</v>
      </c>
      <c r="X91" s="19">
        <f t="shared" ca="1" si="174"/>
        <v>47054884.370351367</v>
      </c>
      <c r="Y91" s="19">
        <f t="shared" ca="1" si="174"/>
        <v>47501378.424702376</v>
      </c>
      <c r="Z91" s="19">
        <f t="shared" ca="1" si="174"/>
        <v>47952109.168681644</v>
      </c>
      <c r="AA91" s="19">
        <f t="shared" ca="1" si="174"/>
        <v>48407116.803359784</v>
      </c>
      <c r="AB91" s="19">
        <f t="shared" ca="1" si="174"/>
        <v>48866441.911267042</v>
      </c>
      <c r="AC91" s="19">
        <f t="shared" ca="1" si="174"/>
        <v>49330125.460012883</v>
      </c>
      <c r="AD91" s="19">
        <f t="shared" ca="1" si="174"/>
        <v>49798208.80593995</v>
      </c>
      <c r="AE91" s="19">
        <f t="shared" ca="1" si="174"/>
        <v>50397400.364479311</v>
      </c>
      <c r="AF91" s="19">
        <f t="shared" ca="1" si="174"/>
        <v>51002277.527645797</v>
      </c>
      <c r="AG91" s="19">
        <f t="shared" ca="1" si="174"/>
        <v>51612894.244964428</v>
      </c>
      <c r="AH91" s="19">
        <f t="shared" ca="1" si="174"/>
        <v>52056575.59683571</v>
      </c>
      <c r="AI91" s="19">
        <f t="shared" ca="1" si="174"/>
        <v>52504466.949183837</v>
      </c>
      <c r="AJ91" s="19">
        <f t="shared" ca="1" si="174"/>
        <v>52886545.749831587</v>
      </c>
      <c r="AK91" s="19">
        <f t="shared" ca="1" si="174"/>
        <v>53272250.017103374</v>
      </c>
      <c r="AL91" s="19">
        <f t="shared" ca="1" si="174"/>
        <v>53661614.152301289</v>
      </c>
      <c r="AM91" s="19">
        <f t="shared" ca="1" si="174"/>
        <v>53671110.383154251</v>
      </c>
      <c r="AN91" s="19">
        <f t="shared" ca="1" si="174"/>
        <v>53680696.721775435</v>
      </c>
      <c r="AO91" s="19">
        <f t="shared" ca="1" si="174"/>
        <v>53690374.023178801</v>
      </c>
      <c r="AP91" s="19">
        <f t="shared" ca="1" si="174"/>
        <v>53700143.150491349</v>
      </c>
      <c r="AQ91" s="19">
        <f t="shared" ca="1" si="174"/>
        <v>53698498.100030117</v>
      </c>
      <c r="AR91" s="19">
        <f t="shared" ca="1" si="174"/>
        <v>53696837.440025687</v>
      </c>
      <c r="AS91" s="19">
        <f t="shared" ca="1" si="174"/>
        <v>53695161.022362344</v>
      </c>
      <c r="AT91" s="19">
        <f t="shared" ca="1" si="174"/>
        <v>53693468.697518922</v>
      </c>
      <c r="AU91" s="19">
        <f t="shared" ca="1" si="174"/>
        <v>53691760.314555481</v>
      </c>
      <c r="AV91" s="19">
        <f t="shared" ca="1" si="174"/>
        <v>53678528.846099846</v>
      </c>
      <c r="AW91" s="19">
        <f t="shared" ca="1" si="174"/>
        <v>53665171.826979816</v>
      </c>
      <c r="AX91" s="19">
        <f t="shared" ca="1" si="174"/>
        <v>53651688.065871134</v>
      </c>
      <c r="AY91" s="19">
        <f t="shared" ca="1" si="174"/>
        <v>53638076.360145308</v>
      </c>
      <c r="AZ91" s="19">
        <f t="shared" ca="1" si="174"/>
        <v>53624335.495762363</v>
      </c>
      <c r="BA91" s="19">
        <f t="shared" ca="1" si="174"/>
        <v>53610464.247162551</v>
      </c>
      <c r="BB91" s="19">
        <f t="shared" ca="1" si="174"/>
        <v>53596461.377157025</v>
      </c>
      <c r="BC91" s="19">
        <f t="shared" ca="1" si="174"/>
        <v>53570473.555567525</v>
      </c>
      <c r="BD91" s="19">
        <f t="shared" ca="1" si="174"/>
        <v>53544239.14092014</v>
      </c>
      <c r="BE91" s="19">
        <f t="shared" ca="1" si="174"/>
        <v>53517755.793344408</v>
      </c>
      <c r="BF91" s="19">
        <f t="shared" ca="1" si="174"/>
        <v>53491021.150767319</v>
      </c>
      <c r="BG91" s="19">
        <f t="shared" ca="1" si="174"/>
        <v>53464032.828702636</v>
      </c>
      <c r="BH91" s="19">
        <f t="shared" ca="1" si="174"/>
        <v>53424936.338788226</v>
      </c>
      <c r="BI91" s="19">
        <f t="shared" ca="1" si="174"/>
        <v>53385468.87037655</v>
      </c>
      <c r="BJ91" s="19">
        <f t="shared" ca="1" si="174"/>
        <v>53345626.903329462</v>
      </c>
      <c r="BK91" s="19">
        <f t="shared" ca="1" si="174"/>
        <v>53305406.884106964</v>
      </c>
      <c r="BL91" s="19">
        <f t="shared" ca="1" si="174"/>
        <v>53264805.225450233</v>
      </c>
      <c r="BM91" s="19">
        <f t="shared" ca="1" si="174"/>
        <v>53223818.306061707</v>
      </c>
      <c r="BN91" s="19">
        <f t="shared" ca="1" si="174"/>
        <v>53182442.470282078</v>
      </c>
      <c r="BO91" s="19">
        <f t="shared" ca="1" si="174"/>
        <v>53128466.384076744</v>
      </c>
      <c r="BP91" s="19">
        <f t="shared" ca="1" si="174"/>
        <v>53073978.129965983</v>
      </c>
      <c r="BQ91" s="19">
        <f t="shared" ca="1" si="174"/>
        <v>53018972.848094605</v>
      </c>
      <c r="BR91" s="19">
        <f t="shared" ca="1" si="174"/>
        <v>52963445.632493235</v>
      </c>
      <c r="BS91" s="19">
        <f t="shared" ca="1" si="174"/>
        <v>52907391.530640788</v>
      </c>
      <c r="BT91" s="19">
        <f t="shared" ref="BT91:CR91" ca="1" si="175">BT87+BT88+BT89-BT90</f>
        <v>52838597.899335243</v>
      </c>
      <c r="BU91" s="19">
        <f t="shared" ca="1" si="175"/>
        <v>52769151.499507017</v>
      </c>
      <c r="BV91" s="19">
        <f t="shared" ca="1" si="175"/>
        <v>52699046.137170769</v>
      </c>
      <c r="BW91" s="19">
        <f t="shared" ca="1" si="175"/>
        <v>52628275.559567712</v>
      </c>
      <c r="BX91" s="19">
        <f t="shared" ca="1" si="175"/>
        <v>52556833.454607919</v>
      </c>
      <c r="BY91" s="19">
        <f t="shared" ca="1" si="175"/>
        <v>52484713.450307347</v>
      </c>
      <c r="BZ91" s="19">
        <f t="shared" ca="1" si="175"/>
        <v>52411909.114219524</v>
      </c>
      <c r="CA91" s="19">
        <f t="shared" ca="1" si="175"/>
        <v>52325840.079863697</v>
      </c>
      <c r="CB91" s="19">
        <f t="shared" ca="1" si="175"/>
        <v>52238954.354262792</v>
      </c>
      <c r="CC91" s="19">
        <f t="shared" ca="1" si="175"/>
        <v>52151244.188002691</v>
      </c>
      <c r="CD91" s="19">
        <f t="shared" ca="1" si="175"/>
        <v>52062701.75813669</v>
      </c>
      <c r="CE91" s="19">
        <f t="shared" ca="1" si="175"/>
        <v>51973319.167487763</v>
      </c>
      <c r="CF91" s="19">
        <f t="shared" ca="1" si="175"/>
        <v>51870514.57094609</v>
      </c>
      <c r="CG91" s="19">
        <f t="shared" ca="1" si="175"/>
        <v>51766734.482875109</v>
      </c>
      <c r="CH91" s="19">
        <f t="shared" ca="1" si="175"/>
        <v>51661969.647037685</v>
      </c>
      <c r="CI91" s="19">
        <f t="shared" ca="1" si="175"/>
        <v>51556210.719366178</v>
      </c>
      <c r="CJ91" s="19">
        <f t="shared" ca="1" si="175"/>
        <v>51449448.267129011</v>
      </c>
      <c r="CK91" s="19">
        <f t="shared" ca="1" si="175"/>
        <v>51341672.768089376</v>
      </c>
      <c r="CL91" s="19">
        <f t="shared" ca="1" si="175"/>
        <v>51232874.609655932</v>
      </c>
      <c r="CM91" s="19">
        <f t="shared" ca="1" si="175"/>
        <v>51110092.998837382</v>
      </c>
      <c r="CN91" s="19">
        <f t="shared" ca="1" si="175"/>
        <v>50986146.3387376</v>
      </c>
      <c r="CO91" s="19">
        <f t="shared" ca="1" si="175"/>
        <v>50861023.574445195</v>
      </c>
      <c r="CP91" s="19">
        <f t="shared" ca="1" si="175"/>
        <v>50734713.54615102</v>
      </c>
      <c r="CQ91" s="19">
        <f t="shared" ca="1" si="175"/>
        <v>50607204.988152802</v>
      </c>
      <c r="CR91" s="19">
        <f t="shared" ca="1" si="175"/>
        <v>0</v>
      </c>
    </row>
    <row r="92" spans="2:97" x14ac:dyDescent="0.3">
      <c r="B92" s="48" t="s">
        <v>122</v>
      </c>
      <c r="C92" s="49"/>
      <c r="D92" s="1"/>
      <c r="E92" s="1"/>
      <c r="F92" s="38">
        <f ca="1">XIRR(G92:CR92,$G$6:$CR$6)</f>
        <v>0.11995849013328549</v>
      </c>
      <c r="G92" s="22">
        <f ca="1">-G89+G90</f>
        <v>-21921250</v>
      </c>
      <c r="H92" s="22">
        <f t="shared" ref="H92:BS92" ca="1" si="176">-H89+H90</f>
        <v>-2731250</v>
      </c>
      <c r="I92" s="22">
        <f t="shared" ca="1" si="176"/>
        <v>-2731250</v>
      </c>
      <c r="J92" s="22">
        <f t="shared" ca="1" si="176"/>
        <v>-2731250</v>
      </c>
      <c r="K92" s="22">
        <f t="shared" ca="1" si="176"/>
        <v>-2731250</v>
      </c>
      <c r="L92" s="22">
        <f t="shared" ca="1" si="176"/>
        <v>-2731250</v>
      </c>
      <c r="M92" s="22">
        <f t="shared" ca="1" si="176"/>
        <v>-2731250</v>
      </c>
      <c r="N92" s="22">
        <f t="shared" ca="1" si="176"/>
        <v>-2454549.0335387583</v>
      </c>
      <c r="O92" s="22">
        <f t="shared" ca="1" si="176"/>
        <v>0</v>
      </c>
      <c r="P92" s="22">
        <f t="shared" ca="1" si="176"/>
        <v>0</v>
      </c>
      <c r="Q92" s="22">
        <f t="shared" ca="1" si="176"/>
        <v>0</v>
      </c>
      <c r="R92" s="22">
        <f t="shared" ca="1" si="176"/>
        <v>0</v>
      </c>
      <c r="S92" s="22">
        <f t="shared" ca="1" si="176"/>
        <v>0</v>
      </c>
      <c r="T92" s="22">
        <f t="shared" ca="1" si="176"/>
        <v>0</v>
      </c>
      <c r="U92" s="22">
        <f t="shared" ca="1" si="176"/>
        <v>0</v>
      </c>
      <c r="V92" s="22">
        <f t="shared" ca="1" si="176"/>
        <v>0</v>
      </c>
      <c r="W92" s="22">
        <f t="shared" ca="1" si="176"/>
        <v>0</v>
      </c>
      <c r="X92" s="22">
        <f t="shared" ca="1" si="176"/>
        <v>0</v>
      </c>
      <c r="Y92" s="22">
        <f t="shared" ca="1" si="176"/>
        <v>0</v>
      </c>
      <c r="Z92" s="22">
        <f t="shared" ca="1" si="176"/>
        <v>0</v>
      </c>
      <c r="AA92" s="22">
        <f t="shared" ca="1" si="176"/>
        <v>0</v>
      </c>
      <c r="AB92" s="22">
        <f t="shared" ca="1" si="176"/>
        <v>0</v>
      </c>
      <c r="AC92" s="22">
        <f t="shared" ca="1" si="176"/>
        <v>0</v>
      </c>
      <c r="AD92" s="22">
        <f t="shared" ca="1" si="176"/>
        <v>0</v>
      </c>
      <c r="AE92" s="22">
        <f t="shared" ca="1" si="176"/>
        <v>-126666.66666666667</v>
      </c>
      <c r="AF92" s="22">
        <f t="shared" ca="1" si="176"/>
        <v>-126666.66666666667</v>
      </c>
      <c r="AG92" s="22">
        <f t="shared" ca="1" si="176"/>
        <v>-126666.66666666667</v>
      </c>
      <c r="AH92" s="22">
        <f t="shared" ca="1" si="176"/>
        <v>46062.714373716153</v>
      </c>
      <c r="AI92" s="22">
        <f t="shared" ca="1" si="176"/>
        <v>46062.714373716153</v>
      </c>
      <c r="AJ92" s="22">
        <f t="shared" ca="1" si="176"/>
        <v>116125.21437371615</v>
      </c>
      <c r="AK92" s="22">
        <f t="shared" ca="1" si="176"/>
        <v>116125.21437371615</v>
      </c>
      <c r="AL92" s="22">
        <f t="shared" ca="1" si="176"/>
        <v>116125.21437371615</v>
      </c>
      <c r="AM92" s="22">
        <f t="shared" ca="1" si="176"/>
        <v>499687.71437371621</v>
      </c>
      <c r="AN92" s="22">
        <f t="shared" ca="1" si="176"/>
        <v>499687.71437371621</v>
      </c>
      <c r="AO92" s="22">
        <f t="shared" ca="1" si="176"/>
        <v>499687.71437371621</v>
      </c>
      <c r="AP92" s="22">
        <f t="shared" ca="1" si="176"/>
        <v>499687.71437371621</v>
      </c>
      <c r="AQ92" s="22">
        <f t="shared" ca="1" si="176"/>
        <v>511194.58937371621</v>
      </c>
      <c r="AR92" s="22">
        <f t="shared" ca="1" si="176"/>
        <v>511194.58937371621</v>
      </c>
      <c r="AS92" s="22">
        <f t="shared" ca="1" si="176"/>
        <v>511194.58937371621</v>
      </c>
      <c r="AT92" s="22">
        <f t="shared" ca="1" si="176"/>
        <v>511194.58937371621</v>
      </c>
      <c r="AU92" s="22">
        <f t="shared" ca="1" si="176"/>
        <v>511194.58937371621</v>
      </c>
      <c r="AV92" s="22">
        <f t="shared" ca="1" si="176"/>
        <v>522701.46437371621</v>
      </c>
      <c r="AW92" s="22">
        <f t="shared" ca="1" si="176"/>
        <v>522701.46437371621</v>
      </c>
      <c r="AX92" s="22">
        <f t="shared" ca="1" si="176"/>
        <v>522701.46437371621</v>
      </c>
      <c r="AY92" s="22">
        <f t="shared" ca="1" si="176"/>
        <v>522701.46437371621</v>
      </c>
      <c r="AZ92" s="22">
        <f t="shared" ca="1" si="176"/>
        <v>522701.46437371621</v>
      </c>
      <c r="BA92" s="22">
        <f t="shared" ca="1" si="176"/>
        <v>522701.46437371621</v>
      </c>
      <c r="BB92" s="22">
        <f t="shared" ca="1" si="176"/>
        <v>522701.46437371621</v>
      </c>
      <c r="BC92" s="22">
        <f t="shared" ca="1" si="176"/>
        <v>534553.5456237162</v>
      </c>
      <c r="BD92" s="22">
        <f t="shared" ca="1" si="176"/>
        <v>534553.5456237162</v>
      </c>
      <c r="BE92" s="22">
        <f t="shared" ca="1" si="176"/>
        <v>534553.5456237162</v>
      </c>
      <c r="BF92" s="22">
        <f t="shared" ca="1" si="176"/>
        <v>534553.5456237162</v>
      </c>
      <c r="BG92" s="22">
        <f t="shared" ca="1" si="176"/>
        <v>534553.5456237162</v>
      </c>
      <c r="BH92" s="22">
        <f t="shared" ca="1" si="176"/>
        <v>546405.62687371613</v>
      </c>
      <c r="BI92" s="22">
        <f t="shared" ca="1" si="176"/>
        <v>546405.62687371613</v>
      </c>
      <c r="BJ92" s="22">
        <f t="shared" ca="1" si="176"/>
        <v>546405.62687371613</v>
      </c>
      <c r="BK92" s="22">
        <f t="shared" ca="1" si="176"/>
        <v>546405.62687371613</v>
      </c>
      <c r="BL92" s="22">
        <f t="shared" ca="1" si="176"/>
        <v>546405.62687371613</v>
      </c>
      <c r="BM92" s="22">
        <f t="shared" ca="1" si="176"/>
        <v>546405.62687371613</v>
      </c>
      <c r="BN92" s="22">
        <f t="shared" ca="1" si="176"/>
        <v>546405.62687371613</v>
      </c>
      <c r="BO92" s="22">
        <f t="shared" ca="1" si="176"/>
        <v>558613.27056121605</v>
      </c>
      <c r="BP92" s="22">
        <f t="shared" ca="1" si="176"/>
        <v>558613.27056121605</v>
      </c>
      <c r="BQ92" s="22">
        <f t="shared" ca="1" si="176"/>
        <v>558613.27056121605</v>
      </c>
      <c r="BR92" s="22">
        <f t="shared" ca="1" si="176"/>
        <v>558613.27056121605</v>
      </c>
      <c r="BS92" s="22">
        <f t="shared" ca="1" si="176"/>
        <v>558613.27056121605</v>
      </c>
      <c r="BT92" s="22">
        <f t="shared" ref="BT92:CR92" ca="1" si="177">-BT89+BT90</f>
        <v>570820.91424871597</v>
      </c>
      <c r="BU92" s="22">
        <f t="shared" ca="1" si="177"/>
        <v>570820.91424871597</v>
      </c>
      <c r="BV92" s="22">
        <f t="shared" ca="1" si="177"/>
        <v>570820.91424871597</v>
      </c>
      <c r="BW92" s="22">
        <f t="shared" ca="1" si="177"/>
        <v>570820.91424871597</v>
      </c>
      <c r="BX92" s="22">
        <f t="shared" ca="1" si="177"/>
        <v>570820.91424871597</v>
      </c>
      <c r="BY92" s="22">
        <f t="shared" ca="1" si="177"/>
        <v>570820.91424871597</v>
      </c>
      <c r="BZ92" s="22">
        <f t="shared" ca="1" si="177"/>
        <v>570820.91424871597</v>
      </c>
      <c r="CA92" s="22">
        <f t="shared" ca="1" si="177"/>
        <v>583394.78724684101</v>
      </c>
      <c r="CB92" s="22">
        <f t="shared" ca="1" si="177"/>
        <v>583394.78724684101</v>
      </c>
      <c r="CC92" s="22">
        <f t="shared" ca="1" si="177"/>
        <v>583394.78724684101</v>
      </c>
      <c r="CD92" s="22">
        <f t="shared" ca="1" si="177"/>
        <v>583394.78724684101</v>
      </c>
      <c r="CE92" s="22">
        <f t="shared" ca="1" si="177"/>
        <v>583394.78724684101</v>
      </c>
      <c r="CF92" s="22">
        <f t="shared" ca="1" si="177"/>
        <v>595968.66024496616</v>
      </c>
      <c r="CG92" s="22">
        <f t="shared" ca="1" si="177"/>
        <v>595968.66024496616</v>
      </c>
      <c r="CH92" s="22">
        <f t="shared" ca="1" si="177"/>
        <v>595968.66024496616</v>
      </c>
      <c r="CI92" s="22">
        <f t="shared" ca="1" si="177"/>
        <v>595968.66024496616</v>
      </c>
      <c r="CJ92" s="22">
        <f t="shared" ca="1" si="177"/>
        <v>595968.66024496616</v>
      </c>
      <c r="CK92" s="22">
        <f t="shared" ca="1" si="177"/>
        <v>595968.66024496616</v>
      </c>
      <c r="CL92" s="22">
        <f t="shared" ca="1" si="177"/>
        <v>595968.66024496616</v>
      </c>
      <c r="CM92" s="22">
        <f t="shared" ca="1" si="177"/>
        <v>608919.7494330348</v>
      </c>
      <c r="CN92" s="22">
        <f t="shared" ca="1" si="177"/>
        <v>608919.7494330348</v>
      </c>
      <c r="CO92" s="22">
        <f t="shared" ca="1" si="177"/>
        <v>608919.7494330348</v>
      </c>
      <c r="CP92" s="22">
        <f t="shared" ca="1" si="177"/>
        <v>608919.7494330348</v>
      </c>
      <c r="CQ92" s="22">
        <f t="shared" ca="1" si="177"/>
        <v>608919.7494330348</v>
      </c>
      <c r="CR92" s="22">
        <f t="shared" ca="1" si="177"/>
        <v>51087406.277283385</v>
      </c>
    </row>
    <row r="93" spans="2:97" x14ac:dyDescent="0.3"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</row>
    <row r="94" spans="2:97" x14ac:dyDescent="0.3">
      <c r="B94" s="21" t="s">
        <v>123</v>
      </c>
      <c r="C94" s="10"/>
      <c r="G94" s="19">
        <f ca="1">-G83</f>
        <v>1153750.0000000009</v>
      </c>
      <c r="H94" s="19">
        <f t="shared" ref="H94:BS94" ca="1" si="178">-H83</f>
        <v>143750.00000000012</v>
      </c>
      <c r="I94" s="19">
        <f t="shared" ca="1" si="178"/>
        <v>143750.00000000012</v>
      </c>
      <c r="J94" s="19">
        <f t="shared" ca="1" si="178"/>
        <v>143750.00000000012</v>
      </c>
      <c r="K94" s="19">
        <f t="shared" ca="1" si="178"/>
        <v>143750.00000000012</v>
      </c>
      <c r="L94" s="19">
        <f t="shared" ca="1" si="178"/>
        <v>143750.00000000012</v>
      </c>
      <c r="M94" s="19">
        <f t="shared" ca="1" si="178"/>
        <v>143750.00000000012</v>
      </c>
      <c r="N94" s="19">
        <f t="shared" ca="1" si="178"/>
        <v>129186.79123888213</v>
      </c>
      <c r="O94" s="19">
        <f t="shared" ca="1" si="178"/>
        <v>0</v>
      </c>
      <c r="P94" s="19">
        <f t="shared" ca="1" si="178"/>
        <v>0</v>
      </c>
      <c r="Q94" s="19">
        <f t="shared" ca="1" si="178"/>
        <v>0</v>
      </c>
      <c r="R94" s="19">
        <f t="shared" ca="1" si="178"/>
        <v>0</v>
      </c>
      <c r="S94" s="19">
        <f t="shared" ca="1" si="178"/>
        <v>0</v>
      </c>
      <c r="T94" s="19">
        <f t="shared" ca="1" si="178"/>
        <v>0</v>
      </c>
      <c r="U94" s="19">
        <f t="shared" ca="1" si="178"/>
        <v>0</v>
      </c>
      <c r="V94" s="19">
        <f t="shared" ca="1" si="178"/>
        <v>0</v>
      </c>
      <c r="W94" s="19">
        <f t="shared" ca="1" si="178"/>
        <v>0</v>
      </c>
      <c r="X94" s="19">
        <f t="shared" ca="1" si="178"/>
        <v>0</v>
      </c>
      <c r="Y94" s="19">
        <f t="shared" ca="1" si="178"/>
        <v>0</v>
      </c>
      <c r="Z94" s="19">
        <f t="shared" ca="1" si="178"/>
        <v>0</v>
      </c>
      <c r="AA94" s="19">
        <f t="shared" ca="1" si="178"/>
        <v>0</v>
      </c>
      <c r="AB94" s="19">
        <f t="shared" ca="1" si="178"/>
        <v>0</v>
      </c>
      <c r="AC94" s="19">
        <f t="shared" ca="1" si="178"/>
        <v>0</v>
      </c>
      <c r="AD94" s="19">
        <f t="shared" ca="1" si="178"/>
        <v>0</v>
      </c>
      <c r="AE94" s="19">
        <f t="shared" ca="1" si="178"/>
        <v>6666.6666666666733</v>
      </c>
      <c r="AF94" s="19">
        <f t="shared" ca="1" si="178"/>
        <v>6666.6666666666733</v>
      </c>
      <c r="AG94" s="19">
        <f t="shared" ca="1" si="178"/>
        <v>6666.6666666666733</v>
      </c>
      <c r="AH94" s="19">
        <f t="shared" ca="1" si="178"/>
        <v>0</v>
      </c>
      <c r="AI94" s="19">
        <f t="shared" ca="1" si="178"/>
        <v>0</v>
      </c>
      <c r="AJ94" s="19">
        <f t="shared" ca="1" si="178"/>
        <v>0</v>
      </c>
      <c r="AK94" s="19">
        <f t="shared" ca="1" si="178"/>
        <v>0</v>
      </c>
      <c r="AL94" s="19">
        <f t="shared" ca="1" si="178"/>
        <v>0</v>
      </c>
      <c r="AM94" s="19">
        <f t="shared" ca="1" si="178"/>
        <v>0</v>
      </c>
      <c r="AN94" s="19">
        <f t="shared" ca="1" si="178"/>
        <v>0</v>
      </c>
      <c r="AO94" s="19">
        <f t="shared" ca="1" si="178"/>
        <v>0</v>
      </c>
      <c r="AP94" s="19">
        <f t="shared" ca="1" si="178"/>
        <v>0</v>
      </c>
      <c r="AQ94" s="19">
        <f t="shared" ca="1" si="178"/>
        <v>0</v>
      </c>
      <c r="AR94" s="19">
        <f t="shared" ca="1" si="178"/>
        <v>0</v>
      </c>
      <c r="AS94" s="19">
        <f t="shared" ca="1" si="178"/>
        <v>0</v>
      </c>
      <c r="AT94" s="19">
        <f t="shared" ca="1" si="178"/>
        <v>0</v>
      </c>
      <c r="AU94" s="19">
        <f t="shared" ca="1" si="178"/>
        <v>0</v>
      </c>
      <c r="AV94" s="19">
        <f t="shared" ca="1" si="178"/>
        <v>0</v>
      </c>
      <c r="AW94" s="19">
        <f t="shared" ca="1" si="178"/>
        <v>0</v>
      </c>
      <c r="AX94" s="19">
        <f t="shared" ca="1" si="178"/>
        <v>0</v>
      </c>
      <c r="AY94" s="19">
        <f t="shared" ca="1" si="178"/>
        <v>0</v>
      </c>
      <c r="AZ94" s="19">
        <f t="shared" ca="1" si="178"/>
        <v>0</v>
      </c>
      <c r="BA94" s="19">
        <f t="shared" ca="1" si="178"/>
        <v>0</v>
      </c>
      <c r="BB94" s="19">
        <f t="shared" ca="1" si="178"/>
        <v>0</v>
      </c>
      <c r="BC94" s="19">
        <f t="shared" ca="1" si="178"/>
        <v>0</v>
      </c>
      <c r="BD94" s="19">
        <f t="shared" ca="1" si="178"/>
        <v>0</v>
      </c>
      <c r="BE94" s="19">
        <f t="shared" ca="1" si="178"/>
        <v>0</v>
      </c>
      <c r="BF94" s="19">
        <f t="shared" ca="1" si="178"/>
        <v>0</v>
      </c>
      <c r="BG94" s="19">
        <f t="shared" ca="1" si="178"/>
        <v>0</v>
      </c>
      <c r="BH94" s="19">
        <f t="shared" ca="1" si="178"/>
        <v>0</v>
      </c>
      <c r="BI94" s="19">
        <f t="shared" ca="1" si="178"/>
        <v>0</v>
      </c>
      <c r="BJ94" s="19">
        <f t="shared" ca="1" si="178"/>
        <v>0</v>
      </c>
      <c r="BK94" s="19">
        <f t="shared" ca="1" si="178"/>
        <v>0</v>
      </c>
      <c r="BL94" s="19">
        <f t="shared" ca="1" si="178"/>
        <v>0</v>
      </c>
      <c r="BM94" s="19">
        <f t="shared" ca="1" si="178"/>
        <v>0</v>
      </c>
      <c r="BN94" s="19">
        <f t="shared" ca="1" si="178"/>
        <v>0</v>
      </c>
      <c r="BO94" s="19">
        <f t="shared" ca="1" si="178"/>
        <v>0</v>
      </c>
      <c r="BP94" s="19">
        <f t="shared" ca="1" si="178"/>
        <v>0</v>
      </c>
      <c r="BQ94" s="19">
        <f t="shared" ca="1" si="178"/>
        <v>0</v>
      </c>
      <c r="BR94" s="19">
        <f t="shared" ca="1" si="178"/>
        <v>0</v>
      </c>
      <c r="BS94" s="19">
        <f t="shared" ca="1" si="178"/>
        <v>0</v>
      </c>
      <c r="BT94" s="19">
        <f t="shared" ref="BT94:CR94" ca="1" si="179">-BT83</f>
        <v>0</v>
      </c>
      <c r="BU94" s="19">
        <f t="shared" ca="1" si="179"/>
        <v>0</v>
      </c>
      <c r="BV94" s="19">
        <f t="shared" ca="1" si="179"/>
        <v>0</v>
      </c>
      <c r="BW94" s="19">
        <f t="shared" ca="1" si="179"/>
        <v>0</v>
      </c>
      <c r="BX94" s="19">
        <f t="shared" ca="1" si="179"/>
        <v>0</v>
      </c>
      <c r="BY94" s="19">
        <f t="shared" ca="1" si="179"/>
        <v>0</v>
      </c>
      <c r="BZ94" s="19">
        <f t="shared" ca="1" si="179"/>
        <v>0</v>
      </c>
      <c r="CA94" s="19">
        <f t="shared" ca="1" si="179"/>
        <v>0</v>
      </c>
      <c r="CB94" s="19">
        <f t="shared" ca="1" si="179"/>
        <v>0</v>
      </c>
      <c r="CC94" s="19">
        <f t="shared" ca="1" si="179"/>
        <v>0</v>
      </c>
      <c r="CD94" s="19">
        <f t="shared" ca="1" si="179"/>
        <v>0</v>
      </c>
      <c r="CE94" s="19">
        <f t="shared" ca="1" si="179"/>
        <v>0</v>
      </c>
      <c r="CF94" s="19">
        <f t="shared" ca="1" si="179"/>
        <v>0</v>
      </c>
      <c r="CG94" s="19">
        <f t="shared" ca="1" si="179"/>
        <v>0</v>
      </c>
      <c r="CH94" s="19">
        <f t="shared" ca="1" si="179"/>
        <v>0</v>
      </c>
      <c r="CI94" s="19">
        <f t="shared" ca="1" si="179"/>
        <v>0</v>
      </c>
      <c r="CJ94" s="19">
        <f t="shared" ca="1" si="179"/>
        <v>0</v>
      </c>
      <c r="CK94" s="19">
        <f t="shared" ca="1" si="179"/>
        <v>0</v>
      </c>
      <c r="CL94" s="19">
        <f t="shared" ca="1" si="179"/>
        <v>0</v>
      </c>
      <c r="CM94" s="19">
        <f t="shared" ca="1" si="179"/>
        <v>0</v>
      </c>
      <c r="CN94" s="19">
        <f t="shared" ca="1" si="179"/>
        <v>0</v>
      </c>
      <c r="CO94" s="19">
        <f t="shared" ca="1" si="179"/>
        <v>0</v>
      </c>
      <c r="CP94" s="19">
        <f t="shared" ca="1" si="179"/>
        <v>0</v>
      </c>
      <c r="CQ94" s="19">
        <f t="shared" ca="1" si="179"/>
        <v>0</v>
      </c>
      <c r="CR94" s="19">
        <f t="shared" ca="1" si="179"/>
        <v>0</v>
      </c>
    </row>
    <row r="95" spans="2:97" x14ac:dyDescent="0.3">
      <c r="B95" s="21" t="s">
        <v>124</v>
      </c>
      <c r="C95" s="47">
        <f>1-C90</f>
        <v>5.0000000000000044E-2</v>
      </c>
      <c r="G95" s="19">
        <f ca="1">(G90/$C$90)*$C$95</f>
        <v>0</v>
      </c>
      <c r="H95" s="19">
        <f t="shared" ref="H95:BS95" ca="1" si="180">(H90/$C$90)*$C$95</f>
        <v>0</v>
      </c>
      <c r="I95" s="19">
        <f t="shared" ca="1" si="180"/>
        <v>0</v>
      </c>
      <c r="J95" s="19">
        <f t="shared" ca="1" si="180"/>
        <v>0</v>
      </c>
      <c r="K95" s="19">
        <f t="shared" ca="1" si="180"/>
        <v>0</v>
      </c>
      <c r="L95" s="19">
        <f t="shared" ca="1" si="180"/>
        <v>0</v>
      </c>
      <c r="M95" s="19">
        <f t="shared" ca="1" si="180"/>
        <v>0</v>
      </c>
      <c r="N95" s="19">
        <f t="shared" ca="1" si="180"/>
        <v>0</v>
      </c>
      <c r="O95" s="19">
        <f t="shared" ca="1" si="180"/>
        <v>0</v>
      </c>
      <c r="P95" s="19">
        <f t="shared" ca="1" si="180"/>
        <v>0</v>
      </c>
      <c r="Q95" s="19">
        <f t="shared" ca="1" si="180"/>
        <v>0</v>
      </c>
      <c r="R95" s="19">
        <f t="shared" ca="1" si="180"/>
        <v>0</v>
      </c>
      <c r="S95" s="19">
        <f t="shared" ca="1" si="180"/>
        <v>0</v>
      </c>
      <c r="T95" s="19">
        <f t="shared" ca="1" si="180"/>
        <v>0</v>
      </c>
      <c r="U95" s="19">
        <f t="shared" ca="1" si="180"/>
        <v>0</v>
      </c>
      <c r="V95" s="19">
        <f t="shared" ca="1" si="180"/>
        <v>0</v>
      </c>
      <c r="W95" s="19">
        <f t="shared" ca="1" si="180"/>
        <v>0</v>
      </c>
      <c r="X95" s="19">
        <f t="shared" ca="1" si="180"/>
        <v>0</v>
      </c>
      <c r="Y95" s="19">
        <f t="shared" ca="1" si="180"/>
        <v>0</v>
      </c>
      <c r="Z95" s="19">
        <f t="shared" ca="1" si="180"/>
        <v>0</v>
      </c>
      <c r="AA95" s="19">
        <f t="shared" ca="1" si="180"/>
        <v>0</v>
      </c>
      <c r="AB95" s="19">
        <f t="shared" ca="1" si="180"/>
        <v>0</v>
      </c>
      <c r="AC95" s="19">
        <f t="shared" ca="1" si="180"/>
        <v>0</v>
      </c>
      <c r="AD95" s="19">
        <f t="shared" ca="1" si="180"/>
        <v>0</v>
      </c>
      <c r="AE95" s="19">
        <f t="shared" ca="1" si="180"/>
        <v>0</v>
      </c>
      <c r="AF95" s="19">
        <f t="shared" ca="1" si="180"/>
        <v>0</v>
      </c>
      <c r="AG95" s="19">
        <f t="shared" ca="1" si="180"/>
        <v>0</v>
      </c>
      <c r="AH95" s="19">
        <f t="shared" ca="1" si="180"/>
        <v>2424.353388090326</v>
      </c>
      <c r="AI95" s="19">
        <f t="shared" ca="1" si="180"/>
        <v>2424.353388090326</v>
      </c>
      <c r="AJ95" s="19">
        <f t="shared" ca="1" si="180"/>
        <v>6111.8533880903296</v>
      </c>
      <c r="AK95" s="19">
        <f t="shared" ca="1" si="180"/>
        <v>6111.8533880903296</v>
      </c>
      <c r="AL95" s="19">
        <f t="shared" ca="1" si="180"/>
        <v>6111.8533880903296</v>
      </c>
      <c r="AM95" s="19">
        <f t="shared" ca="1" si="180"/>
        <v>26299.353388090349</v>
      </c>
      <c r="AN95" s="19">
        <f t="shared" ca="1" si="180"/>
        <v>26299.353388090349</v>
      </c>
      <c r="AO95" s="19">
        <f t="shared" ca="1" si="180"/>
        <v>26299.353388090349</v>
      </c>
      <c r="AP95" s="19">
        <f t="shared" ca="1" si="180"/>
        <v>26299.353388090349</v>
      </c>
      <c r="AQ95" s="19">
        <f t="shared" ca="1" si="180"/>
        <v>26904.978388090352</v>
      </c>
      <c r="AR95" s="19">
        <f t="shared" ca="1" si="180"/>
        <v>26904.978388090352</v>
      </c>
      <c r="AS95" s="19">
        <f t="shared" ca="1" si="180"/>
        <v>26904.978388090352</v>
      </c>
      <c r="AT95" s="19">
        <f t="shared" ca="1" si="180"/>
        <v>26904.978388090352</v>
      </c>
      <c r="AU95" s="19">
        <f t="shared" ca="1" si="180"/>
        <v>26904.978388090352</v>
      </c>
      <c r="AV95" s="19">
        <f t="shared" ca="1" si="180"/>
        <v>27510.603388090352</v>
      </c>
      <c r="AW95" s="19">
        <f t="shared" ca="1" si="180"/>
        <v>27510.603388090352</v>
      </c>
      <c r="AX95" s="19">
        <f t="shared" ca="1" si="180"/>
        <v>27510.603388090352</v>
      </c>
      <c r="AY95" s="19">
        <f t="shared" ca="1" si="180"/>
        <v>27510.603388090352</v>
      </c>
      <c r="AZ95" s="19">
        <f t="shared" ca="1" si="180"/>
        <v>27510.603388090352</v>
      </c>
      <c r="BA95" s="19">
        <f t="shared" ca="1" si="180"/>
        <v>27510.603388090352</v>
      </c>
      <c r="BB95" s="19">
        <f t="shared" ca="1" si="180"/>
        <v>27510.603388090352</v>
      </c>
      <c r="BC95" s="19">
        <f t="shared" ca="1" si="180"/>
        <v>28134.397138090353</v>
      </c>
      <c r="BD95" s="19">
        <f t="shared" ca="1" si="180"/>
        <v>28134.397138090353</v>
      </c>
      <c r="BE95" s="19">
        <f t="shared" ca="1" si="180"/>
        <v>28134.397138090353</v>
      </c>
      <c r="BF95" s="19">
        <f t="shared" ca="1" si="180"/>
        <v>28134.397138090353</v>
      </c>
      <c r="BG95" s="19">
        <f t="shared" ca="1" si="180"/>
        <v>28134.397138090353</v>
      </c>
      <c r="BH95" s="19">
        <f t="shared" ca="1" si="180"/>
        <v>28758.190888090347</v>
      </c>
      <c r="BI95" s="19">
        <f t="shared" ca="1" si="180"/>
        <v>28758.190888090347</v>
      </c>
      <c r="BJ95" s="19">
        <f t="shared" ca="1" si="180"/>
        <v>28758.190888090347</v>
      </c>
      <c r="BK95" s="19">
        <f t="shared" ca="1" si="180"/>
        <v>28758.190888090347</v>
      </c>
      <c r="BL95" s="19">
        <f t="shared" ca="1" si="180"/>
        <v>28758.190888090347</v>
      </c>
      <c r="BM95" s="19">
        <f t="shared" ca="1" si="180"/>
        <v>28758.190888090347</v>
      </c>
      <c r="BN95" s="19">
        <f t="shared" ca="1" si="180"/>
        <v>28758.190888090347</v>
      </c>
      <c r="BO95" s="19">
        <f t="shared" ca="1" si="180"/>
        <v>29400.698450590346</v>
      </c>
      <c r="BP95" s="19">
        <f t="shared" ca="1" si="180"/>
        <v>29400.698450590346</v>
      </c>
      <c r="BQ95" s="19">
        <f t="shared" ca="1" si="180"/>
        <v>29400.698450590346</v>
      </c>
      <c r="BR95" s="19">
        <f t="shared" ca="1" si="180"/>
        <v>29400.698450590346</v>
      </c>
      <c r="BS95" s="19">
        <f t="shared" ca="1" si="180"/>
        <v>29400.698450590346</v>
      </c>
      <c r="BT95" s="19">
        <f t="shared" ref="BT95:CR95" ca="1" si="181">(BT90/$C$90)*$C$95</f>
        <v>30043.206013090341</v>
      </c>
      <c r="BU95" s="19">
        <f t="shared" ca="1" si="181"/>
        <v>30043.206013090341</v>
      </c>
      <c r="BV95" s="19">
        <f t="shared" ca="1" si="181"/>
        <v>30043.206013090341</v>
      </c>
      <c r="BW95" s="19">
        <f t="shared" ca="1" si="181"/>
        <v>30043.206013090341</v>
      </c>
      <c r="BX95" s="19">
        <f t="shared" ca="1" si="181"/>
        <v>30043.206013090341</v>
      </c>
      <c r="BY95" s="19">
        <f t="shared" ca="1" si="181"/>
        <v>30043.206013090341</v>
      </c>
      <c r="BZ95" s="19">
        <f t="shared" ca="1" si="181"/>
        <v>30043.206013090341</v>
      </c>
      <c r="CA95" s="19">
        <f t="shared" ca="1" si="181"/>
        <v>30704.988802465345</v>
      </c>
      <c r="CB95" s="19">
        <f t="shared" ca="1" si="181"/>
        <v>30704.988802465345</v>
      </c>
      <c r="CC95" s="19">
        <f t="shared" ca="1" si="181"/>
        <v>30704.988802465345</v>
      </c>
      <c r="CD95" s="19">
        <f t="shared" ca="1" si="181"/>
        <v>30704.988802465345</v>
      </c>
      <c r="CE95" s="19">
        <f t="shared" ca="1" si="181"/>
        <v>30704.988802465345</v>
      </c>
      <c r="CF95" s="19">
        <f t="shared" ca="1" si="181"/>
        <v>31366.771591840352</v>
      </c>
      <c r="CG95" s="19">
        <f t="shared" ca="1" si="181"/>
        <v>31366.771591840352</v>
      </c>
      <c r="CH95" s="19">
        <f t="shared" ca="1" si="181"/>
        <v>31366.771591840352</v>
      </c>
      <c r="CI95" s="19">
        <f t="shared" ca="1" si="181"/>
        <v>31366.771591840352</v>
      </c>
      <c r="CJ95" s="19">
        <f t="shared" ca="1" si="181"/>
        <v>31366.771591840352</v>
      </c>
      <c r="CK95" s="19">
        <f t="shared" ca="1" si="181"/>
        <v>31366.771591840352</v>
      </c>
      <c r="CL95" s="19">
        <f t="shared" ca="1" si="181"/>
        <v>31366.771591840352</v>
      </c>
      <c r="CM95" s="19">
        <f t="shared" ca="1" si="181"/>
        <v>32048.407864896599</v>
      </c>
      <c r="CN95" s="19">
        <f t="shared" ca="1" si="181"/>
        <v>32048.407864896599</v>
      </c>
      <c r="CO95" s="19">
        <f t="shared" ca="1" si="181"/>
        <v>32048.407864896599</v>
      </c>
      <c r="CP95" s="19">
        <f t="shared" ca="1" si="181"/>
        <v>32048.407864896599</v>
      </c>
      <c r="CQ95" s="19">
        <f t="shared" ca="1" si="181"/>
        <v>32048.407864896599</v>
      </c>
      <c r="CR95" s="19">
        <f t="shared" ca="1" si="181"/>
        <v>2688810.8566991282</v>
      </c>
    </row>
    <row r="96" spans="2:97" x14ac:dyDescent="0.3">
      <c r="B96" s="48" t="s">
        <v>125</v>
      </c>
      <c r="C96" s="49"/>
      <c r="D96" s="1"/>
      <c r="E96" s="1"/>
      <c r="F96" s="38">
        <f ca="1">XIRR(G96:CR96,$G$6:$CR$6)</f>
        <v>0.11995849013328549</v>
      </c>
      <c r="G96" s="22">
        <f ca="1">-G94+G95</f>
        <v>-1153750.0000000009</v>
      </c>
      <c r="H96" s="22">
        <f t="shared" ref="H96:BS96" ca="1" si="182">-H94+H95</f>
        <v>-143750.00000000012</v>
      </c>
      <c r="I96" s="22">
        <f t="shared" ca="1" si="182"/>
        <v>-143750.00000000012</v>
      </c>
      <c r="J96" s="22">
        <f t="shared" ca="1" si="182"/>
        <v>-143750.00000000012</v>
      </c>
      <c r="K96" s="22">
        <f t="shared" ca="1" si="182"/>
        <v>-143750.00000000012</v>
      </c>
      <c r="L96" s="22">
        <f t="shared" ca="1" si="182"/>
        <v>-143750.00000000012</v>
      </c>
      <c r="M96" s="22">
        <f t="shared" ca="1" si="182"/>
        <v>-143750.00000000012</v>
      </c>
      <c r="N96" s="22">
        <f t="shared" ca="1" si="182"/>
        <v>-129186.79123888213</v>
      </c>
      <c r="O96" s="22">
        <f t="shared" ca="1" si="182"/>
        <v>0</v>
      </c>
      <c r="P96" s="22">
        <f t="shared" ca="1" si="182"/>
        <v>0</v>
      </c>
      <c r="Q96" s="22">
        <f t="shared" ca="1" si="182"/>
        <v>0</v>
      </c>
      <c r="R96" s="22">
        <f t="shared" ca="1" si="182"/>
        <v>0</v>
      </c>
      <c r="S96" s="22">
        <f t="shared" ca="1" si="182"/>
        <v>0</v>
      </c>
      <c r="T96" s="22">
        <f t="shared" ca="1" si="182"/>
        <v>0</v>
      </c>
      <c r="U96" s="22">
        <f t="shared" ca="1" si="182"/>
        <v>0</v>
      </c>
      <c r="V96" s="22">
        <f t="shared" ca="1" si="182"/>
        <v>0</v>
      </c>
      <c r="W96" s="22">
        <f t="shared" ca="1" si="182"/>
        <v>0</v>
      </c>
      <c r="X96" s="22">
        <f t="shared" ca="1" si="182"/>
        <v>0</v>
      </c>
      <c r="Y96" s="22">
        <f t="shared" ca="1" si="182"/>
        <v>0</v>
      </c>
      <c r="Z96" s="22">
        <f t="shared" ca="1" si="182"/>
        <v>0</v>
      </c>
      <c r="AA96" s="22">
        <f t="shared" ca="1" si="182"/>
        <v>0</v>
      </c>
      <c r="AB96" s="22">
        <f t="shared" ca="1" si="182"/>
        <v>0</v>
      </c>
      <c r="AC96" s="22">
        <f t="shared" ca="1" si="182"/>
        <v>0</v>
      </c>
      <c r="AD96" s="22">
        <f t="shared" ca="1" si="182"/>
        <v>0</v>
      </c>
      <c r="AE96" s="22">
        <f t="shared" ca="1" si="182"/>
        <v>-6666.6666666666733</v>
      </c>
      <c r="AF96" s="22">
        <f t="shared" ca="1" si="182"/>
        <v>-6666.6666666666733</v>
      </c>
      <c r="AG96" s="22">
        <f t="shared" ca="1" si="182"/>
        <v>-6666.6666666666733</v>
      </c>
      <c r="AH96" s="22">
        <f t="shared" ca="1" si="182"/>
        <v>2424.353388090326</v>
      </c>
      <c r="AI96" s="22">
        <f t="shared" ca="1" si="182"/>
        <v>2424.353388090326</v>
      </c>
      <c r="AJ96" s="22">
        <f t="shared" ca="1" si="182"/>
        <v>6111.8533880903296</v>
      </c>
      <c r="AK96" s="22">
        <f t="shared" ca="1" si="182"/>
        <v>6111.8533880903296</v>
      </c>
      <c r="AL96" s="22">
        <f t="shared" ca="1" si="182"/>
        <v>6111.8533880903296</v>
      </c>
      <c r="AM96" s="22">
        <f t="shared" ca="1" si="182"/>
        <v>26299.353388090349</v>
      </c>
      <c r="AN96" s="22">
        <f t="shared" ca="1" si="182"/>
        <v>26299.353388090349</v>
      </c>
      <c r="AO96" s="22">
        <f t="shared" ca="1" si="182"/>
        <v>26299.353388090349</v>
      </c>
      <c r="AP96" s="22">
        <f t="shared" ca="1" si="182"/>
        <v>26299.353388090349</v>
      </c>
      <c r="AQ96" s="22">
        <f t="shared" ca="1" si="182"/>
        <v>26904.978388090352</v>
      </c>
      <c r="AR96" s="22">
        <f t="shared" ca="1" si="182"/>
        <v>26904.978388090352</v>
      </c>
      <c r="AS96" s="22">
        <f t="shared" ca="1" si="182"/>
        <v>26904.978388090352</v>
      </c>
      <c r="AT96" s="22">
        <f t="shared" ca="1" si="182"/>
        <v>26904.978388090352</v>
      </c>
      <c r="AU96" s="22">
        <f t="shared" ca="1" si="182"/>
        <v>26904.978388090352</v>
      </c>
      <c r="AV96" s="22">
        <f t="shared" ca="1" si="182"/>
        <v>27510.603388090352</v>
      </c>
      <c r="AW96" s="22">
        <f t="shared" ca="1" si="182"/>
        <v>27510.603388090352</v>
      </c>
      <c r="AX96" s="22">
        <f t="shared" ca="1" si="182"/>
        <v>27510.603388090352</v>
      </c>
      <c r="AY96" s="22">
        <f t="shared" ca="1" si="182"/>
        <v>27510.603388090352</v>
      </c>
      <c r="AZ96" s="22">
        <f t="shared" ca="1" si="182"/>
        <v>27510.603388090352</v>
      </c>
      <c r="BA96" s="22">
        <f t="shared" ca="1" si="182"/>
        <v>27510.603388090352</v>
      </c>
      <c r="BB96" s="22">
        <f t="shared" ca="1" si="182"/>
        <v>27510.603388090352</v>
      </c>
      <c r="BC96" s="22">
        <f t="shared" ca="1" si="182"/>
        <v>28134.397138090353</v>
      </c>
      <c r="BD96" s="22">
        <f t="shared" ca="1" si="182"/>
        <v>28134.397138090353</v>
      </c>
      <c r="BE96" s="22">
        <f t="shared" ca="1" si="182"/>
        <v>28134.397138090353</v>
      </c>
      <c r="BF96" s="22">
        <f t="shared" ca="1" si="182"/>
        <v>28134.397138090353</v>
      </c>
      <c r="BG96" s="22">
        <f t="shared" ca="1" si="182"/>
        <v>28134.397138090353</v>
      </c>
      <c r="BH96" s="22">
        <f t="shared" ca="1" si="182"/>
        <v>28758.190888090347</v>
      </c>
      <c r="BI96" s="22">
        <f t="shared" ca="1" si="182"/>
        <v>28758.190888090347</v>
      </c>
      <c r="BJ96" s="22">
        <f t="shared" ca="1" si="182"/>
        <v>28758.190888090347</v>
      </c>
      <c r="BK96" s="22">
        <f t="shared" ca="1" si="182"/>
        <v>28758.190888090347</v>
      </c>
      <c r="BL96" s="22">
        <f t="shared" ca="1" si="182"/>
        <v>28758.190888090347</v>
      </c>
      <c r="BM96" s="22">
        <f t="shared" ca="1" si="182"/>
        <v>28758.190888090347</v>
      </c>
      <c r="BN96" s="22">
        <f t="shared" ca="1" si="182"/>
        <v>28758.190888090347</v>
      </c>
      <c r="BO96" s="22">
        <f t="shared" ca="1" si="182"/>
        <v>29400.698450590346</v>
      </c>
      <c r="BP96" s="22">
        <f t="shared" ca="1" si="182"/>
        <v>29400.698450590346</v>
      </c>
      <c r="BQ96" s="22">
        <f t="shared" ca="1" si="182"/>
        <v>29400.698450590346</v>
      </c>
      <c r="BR96" s="22">
        <f t="shared" ca="1" si="182"/>
        <v>29400.698450590346</v>
      </c>
      <c r="BS96" s="22">
        <f t="shared" ca="1" si="182"/>
        <v>29400.698450590346</v>
      </c>
      <c r="BT96" s="22">
        <f t="shared" ref="BT96:CR96" ca="1" si="183">-BT94+BT95</f>
        <v>30043.206013090341</v>
      </c>
      <c r="BU96" s="22">
        <f t="shared" ca="1" si="183"/>
        <v>30043.206013090341</v>
      </c>
      <c r="BV96" s="22">
        <f t="shared" ca="1" si="183"/>
        <v>30043.206013090341</v>
      </c>
      <c r="BW96" s="22">
        <f t="shared" ca="1" si="183"/>
        <v>30043.206013090341</v>
      </c>
      <c r="BX96" s="22">
        <f t="shared" ca="1" si="183"/>
        <v>30043.206013090341</v>
      </c>
      <c r="BY96" s="22">
        <f t="shared" ca="1" si="183"/>
        <v>30043.206013090341</v>
      </c>
      <c r="BZ96" s="22">
        <f t="shared" ca="1" si="183"/>
        <v>30043.206013090341</v>
      </c>
      <c r="CA96" s="22">
        <f t="shared" ca="1" si="183"/>
        <v>30704.988802465345</v>
      </c>
      <c r="CB96" s="22">
        <f t="shared" ca="1" si="183"/>
        <v>30704.988802465345</v>
      </c>
      <c r="CC96" s="22">
        <f t="shared" ca="1" si="183"/>
        <v>30704.988802465345</v>
      </c>
      <c r="CD96" s="22">
        <f t="shared" ca="1" si="183"/>
        <v>30704.988802465345</v>
      </c>
      <c r="CE96" s="22">
        <f t="shared" ca="1" si="183"/>
        <v>30704.988802465345</v>
      </c>
      <c r="CF96" s="22">
        <f t="shared" ca="1" si="183"/>
        <v>31366.771591840352</v>
      </c>
      <c r="CG96" s="22">
        <f t="shared" ca="1" si="183"/>
        <v>31366.771591840352</v>
      </c>
      <c r="CH96" s="22">
        <f t="shared" ca="1" si="183"/>
        <v>31366.771591840352</v>
      </c>
      <c r="CI96" s="22">
        <f t="shared" ca="1" si="183"/>
        <v>31366.771591840352</v>
      </c>
      <c r="CJ96" s="22">
        <f t="shared" ca="1" si="183"/>
        <v>31366.771591840352</v>
      </c>
      <c r="CK96" s="22">
        <f t="shared" ca="1" si="183"/>
        <v>31366.771591840352</v>
      </c>
      <c r="CL96" s="22">
        <f t="shared" ca="1" si="183"/>
        <v>31366.771591840352</v>
      </c>
      <c r="CM96" s="22">
        <f t="shared" ca="1" si="183"/>
        <v>32048.407864896599</v>
      </c>
      <c r="CN96" s="22">
        <f t="shared" ca="1" si="183"/>
        <v>32048.407864896599</v>
      </c>
      <c r="CO96" s="22">
        <f t="shared" ca="1" si="183"/>
        <v>32048.407864896599</v>
      </c>
      <c r="CP96" s="22">
        <f t="shared" ca="1" si="183"/>
        <v>32048.407864896599</v>
      </c>
      <c r="CQ96" s="22">
        <f t="shared" ca="1" si="183"/>
        <v>32048.407864896599</v>
      </c>
      <c r="CR96" s="22">
        <f t="shared" ca="1" si="183"/>
        <v>2688810.8566991282</v>
      </c>
    </row>
    <row r="97" spans="2:96" x14ac:dyDescent="0.3"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</row>
    <row r="98" spans="2:96" x14ac:dyDescent="0.3"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</row>
    <row r="99" spans="2:96" s="33" customFormat="1" x14ac:dyDescent="0.3">
      <c r="B99" s="35" t="s">
        <v>126</v>
      </c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</row>
    <row r="100" spans="2:96" x14ac:dyDescent="0.3">
      <c r="B100" t="s">
        <v>127</v>
      </c>
      <c r="G100" s="19">
        <f ca="1">MAX(G73,0)-G90-G95</f>
        <v>0</v>
      </c>
      <c r="H100" s="19">
        <f t="shared" ref="H100:BS100" ca="1" si="184">MAX(H73,0)-H90-H95</f>
        <v>0</v>
      </c>
      <c r="I100" s="19">
        <f t="shared" ca="1" si="184"/>
        <v>0</v>
      </c>
      <c r="J100" s="19">
        <f t="shared" ca="1" si="184"/>
        <v>0</v>
      </c>
      <c r="K100" s="19">
        <f t="shared" ca="1" si="184"/>
        <v>0</v>
      </c>
      <c r="L100" s="19">
        <f t="shared" ca="1" si="184"/>
        <v>0</v>
      </c>
      <c r="M100" s="19">
        <f t="shared" ca="1" si="184"/>
        <v>0</v>
      </c>
      <c r="N100" s="19">
        <f t="shared" ca="1" si="184"/>
        <v>0</v>
      </c>
      <c r="O100" s="19">
        <f t="shared" ca="1" si="184"/>
        <v>0</v>
      </c>
      <c r="P100" s="19">
        <f t="shared" ca="1" si="184"/>
        <v>0</v>
      </c>
      <c r="Q100" s="19">
        <f t="shared" ca="1" si="184"/>
        <v>0</v>
      </c>
      <c r="R100" s="19">
        <f t="shared" ca="1" si="184"/>
        <v>0</v>
      </c>
      <c r="S100" s="19">
        <f t="shared" ca="1" si="184"/>
        <v>0</v>
      </c>
      <c r="T100" s="19">
        <f t="shared" ca="1" si="184"/>
        <v>0</v>
      </c>
      <c r="U100" s="19">
        <f t="shared" ca="1" si="184"/>
        <v>0</v>
      </c>
      <c r="V100" s="19">
        <f t="shared" ca="1" si="184"/>
        <v>0</v>
      </c>
      <c r="W100" s="19">
        <f t="shared" ca="1" si="184"/>
        <v>0</v>
      </c>
      <c r="X100" s="19">
        <f t="shared" ca="1" si="184"/>
        <v>0</v>
      </c>
      <c r="Y100" s="19">
        <f t="shared" ca="1" si="184"/>
        <v>0</v>
      </c>
      <c r="Z100" s="19">
        <f t="shared" ca="1" si="184"/>
        <v>0</v>
      </c>
      <c r="AA100" s="19">
        <f t="shared" ca="1" si="184"/>
        <v>0</v>
      </c>
      <c r="AB100" s="19">
        <f t="shared" ca="1" si="184"/>
        <v>0</v>
      </c>
      <c r="AC100" s="19">
        <f t="shared" ca="1" si="184"/>
        <v>0</v>
      </c>
      <c r="AD100" s="19">
        <f t="shared" ca="1" si="184"/>
        <v>0</v>
      </c>
      <c r="AE100" s="19">
        <f t="shared" ca="1" si="184"/>
        <v>0</v>
      </c>
      <c r="AF100" s="19">
        <f t="shared" ca="1" si="184"/>
        <v>0</v>
      </c>
      <c r="AG100" s="19">
        <f t="shared" ca="1" si="184"/>
        <v>0</v>
      </c>
      <c r="AH100" s="19">
        <f t="shared" ca="1" si="184"/>
        <v>0</v>
      </c>
      <c r="AI100" s="19">
        <f t="shared" ca="1" si="184"/>
        <v>0</v>
      </c>
      <c r="AJ100" s="19">
        <f t="shared" ca="1" si="184"/>
        <v>0</v>
      </c>
      <c r="AK100" s="19">
        <f t="shared" ca="1" si="184"/>
        <v>0</v>
      </c>
      <c r="AL100" s="19">
        <f t="shared" ca="1" si="184"/>
        <v>0</v>
      </c>
      <c r="AM100" s="19">
        <f t="shared" ca="1" si="184"/>
        <v>0</v>
      </c>
      <c r="AN100" s="19">
        <f t="shared" ca="1" si="184"/>
        <v>0</v>
      </c>
      <c r="AO100" s="19">
        <f t="shared" ca="1" si="184"/>
        <v>0</v>
      </c>
      <c r="AP100" s="19">
        <f t="shared" ca="1" si="184"/>
        <v>0</v>
      </c>
      <c r="AQ100" s="19">
        <f t="shared" ca="1" si="184"/>
        <v>0</v>
      </c>
      <c r="AR100" s="19">
        <f t="shared" ca="1" si="184"/>
        <v>0</v>
      </c>
      <c r="AS100" s="19">
        <f t="shared" ca="1" si="184"/>
        <v>0</v>
      </c>
      <c r="AT100" s="19">
        <f t="shared" ca="1" si="184"/>
        <v>0</v>
      </c>
      <c r="AU100" s="19">
        <f t="shared" ca="1" si="184"/>
        <v>0</v>
      </c>
      <c r="AV100" s="19">
        <f t="shared" ca="1" si="184"/>
        <v>0</v>
      </c>
      <c r="AW100" s="19">
        <f t="shared" ca="1" si="184"/>
        <v>0</v>
      </c>
      <c r="AX100" s="19">
        <f t="shared" ca="1" si="184"/>
        <v>0</v>
      </c>
      <c r="AY100" s="19">
        <f t="shared" ca="1" si="184"/>
        <v>0</v>
      </c>
      <c r="AZ100" s="19">
        <f t="shared" ca="1" si="184"/>
        <v>0</v>
      </c>
      <c r="BA100" s="19">
        <f t="shared" ca="1" si="184"/>
        <v>0</v>
      </c>
      <c r="BB100" s="19">
        <f t="shared" ca="1" si="184"/>
        <v>0</v>
      </c>
      <c r="BC100" s="19">
        <f t="shared" ca="1" si="184"/>
        <v>0</v>
      </c>
      <c r="BD100" s="19">
        <f t="shared" ca="1" si="184"/>
        <v>0</v>
      </c>
      <c r="BE100" s="19">
        <f t="shared" ca="1" si="184"/>
        <v>0</v>
      </c>
      <c r="BF100" s="19">
        <f t="shared" ca="1" si="184"/>
        <v>0</v>
      </c>
      <c r="BG100" s="19">
        <f t="shared" ca="1" si="184"/>
        <v>0</v>
      </c>
      <c r="BH100" s="19">
        <f t="shared" ca="1" si="184"/>
        <v>6.184563972055912E-11</v>
      </c>
      <c r="BI100" s="19">
        <f t="shared" ca="1" si="184"/>
        <v>6.184563972055912E-11</v>
      </c>
      <c r="BJ100" s="19">
        <f t="shared" ca="1" si="184"/>
        <v>6.184563972055912E-11</v>
      </c>
      <c r="BK100" s="19">
        <f t="shared" ca="1" si="184"/>
        <v>6.184563972055912E-11</v>
      </c>
      <c r="BL100" s="19">
        <f t="shared" ca="1" si="184"/>
        <v>6.184563972055912E-11</v>
      </c>
      <c r="BM100" s="19">
        <f t="shared" ca="1" si="184"/>
        <v>6.184563972055912E-11</v>
      </c>
      <c r="BN100" s="19">
        <f t="shared" ca="1" si="184"/>
        <v>6.184563972055912E-11</v>
      </c>
      <c r="BO100" s="19">
        <f t="shared" ca="1" si="184"/>
        <v>0</v>
      </c>
      <c r="BP100" s="19">
        <f t="shared" ca="1" si="184"/>
        <v>0</v>
      </c>
      <c r="BQ100" s="19">
        <f t="shared" ca="1" si="184"/>
        <v>0</v>
      </c>
      <c r="BR100" s="19">
        <f t="shared" ca="1" si="184"/>
        <v>0</v>
      </c>
      <c r="BS100" s="19">
        <f t="shared" ca="1" si="184"/>
        <v>0</v>
      </c>
      <c r="BT100" s="19">
        <f t="shared" ref="BT100:CR100" ca="1" si="185">MAX(BT73,0)-BT90-BT95</f>
        <v>0</v>
      </c>
      <c r="BU100" s="19">
        <f t="shared" ca="1" si="185"/>
        <v>0</v>
      </c>
      <c r="BV100" s="19">
        <f t="shared" ca="1" si="185"/>
        <v>0</v>
      </c>
      <c r="BW100" s="19">
        <f t="shared" ca="1" si="185"/>
        <v>0</v>
      </c>
      <c r="BX100" s="19">
        <f t="shared" ca="1" si="185"/>
        <v>0</v>
      </c>
      <c r="BY100" s="19">
        <f t="shared" ca="1" si="185"/>
        <v>0</v>
      </c>
      <c r="BZ100" s="19">
        <f t="shared" ca="1" si="185"/>
        <v>0</v>
      </c>
      <c r="CA100" s="19">
        <f t="shared" ca="1" si="185"/>
        <v>3.2741809263825417E-11</v>
      </c>
      <c r="CB100" s="19">
        <f t="shared" ca="1" si="185"/>
        <v>3.2741809263825417E-11</v>
      </c>
      <c r="CC100" s="19">
        <f t="shared" ca="1" si="185"/>
        <v>3.2741809263825417E-11</v>
      </c>
      <c r="CD100" s="19">
        <f t="shared" ca="1" si="185"/>
        <v>3.2741809263825417E-11</v>
      </c>
      <c r="CE100" s="19">
        <f t="shared" ca="1" si="185"/>
        <v>3.2741809263825417E-11</v>
      </c>
      <c r="CF100" s="19">
        <f t="shared" ca="1" si="185"/>
        <v>-4.0017766878008842E-11</v>
      </c>
      <c r="CG100" s="19">
        <f t="shared" ca="1" si="185"/>
        <v>-4.0017766878008842E-11</v>
      </c>
      <c r="CH100" s="19">
        <f t="shared" ca="1" si="185"/>
        <v>-4.0017766878008842E-11</v>
      </c>
      <c r="CI100" s="19">
        <f t="shared" ca="1" si="185"/>
        <v>-4.0017766878008842E-11</v>
      </c>
      <c r="CJ100" s="19">
        <f t="shared" ca="1" si="185"/>
        <v>-4.0017766878008842E-11</v>
      </c>
      <c r="CK100" s="19">
        <f t="shared" ca="1" si="185"/>
        <v>-4.0017766878008842E-11</v>
      </c>
      <c r="CL100" s="19">
        <f t="shared" ca="1" si="185"/>
        <v>-4.0017766878008842E-11</v>
      </c>
      <c r="CM100" s="19">
        <f t="shared" ca="1" si="185"/>
        <v>0</v>
      </c>
      <c r="CN100" s="19">
        <f t="shared" ca="1" si="185"/>
        <v>0</v>
      </c>
      <c r="CO100" s="19">
        <f t="shared" ca="1" si="185"/>
        <v>0</v>
      </c>
      <c r="CP100" s="19">
        <f t="shared" ca="1" si="185"/>
        <v>0</v>
      </c>
      <c r="CQ100" s="19">
        <f t="shared" ca="1" si="185"/>
        <v>0</v>
      </c>
      <c r="CR100" s="19">
        <f t="shared" ca="1" si="185"/>
        <v>80829194.434655428</v>
      </c>
    </row>
    <row r="101" spans="2:96" x14ac:dyDescent="0.3">
      <c r="B101" s="42" t="s">
        <v>128</v>
      </c>
      <c r="C101" s="65">
        <v>0.8</v>
      </c>
      <c r="G101" s="19">
        <f ca="1">G$100*$C101</f>
        <v>0</v>
      </c>
      <c r="H101" s="19">
        <f t="shared" ref="H101:BS102" ca="1" si="186">H$100*$C101</f>
        <v>0</v>
      </c>
      <c r="I101" s="19">
        <f t="shared" ca="1" si="186"/>
        <v>0</v>
      </c>
      <c r="J101" s="19">
        <f t="shared" ca="1" si="186"/>
        <v>0</v>
      </c>
      <c r="K101" s="19">
        <f t="shared" ca="1" si="186"/>
        <v>0</v>
      </c>
      <c r="L101" s="19">
        <f t="shared" ca="1" si="186"/>
        <v>0</v>
      </c>
      <c r="M101" s="19">
        <f t="shared" ca="1" si="186"/>
        <v>0</v>
      </c>
      <c r="N101" s="19">
        <f t="shared" ca="1" si="186"/>
        <v>0</v>
      </c>
      <c r="O101" s="19">
        <f t="shared" ca="1" si="186"/>
        <v>0</v>
      </c>
      <c r="P101" s="19">
        <f t="shared" ca="1" si="186"/>
        <v>0</v>
      </c>
      <c r="Q101" s="19">
        <f t="shared" ca="1" si="186"/>
        <v>0</v>
      </c>
      <c r="R101" s="19">
        <f t="shared" ca="1" si="186"/>
        <v>0</v>
      </c>
      <c r="S101" s="19">
        <f t="shared" ca="1" si="186"/>
        <v>0</v>
      </c>
      <c r="T101" s="19">
        <f t="shared" ca="1" si="186"/>
        <v>0</v>
      </c>
      <c r="U101" s="19">
        <f t="shared" ca="1" si="186"/>
        <v>0</v>
      </c>
      <c r="V101" s="19">
        <f t="shared" ca="1" si="186"/>
        <v>0</v>
      </c>
      <c r="W101" s="19">
        <f t="shared" ca="1" si="186"/>
        <v>0</v>
      </c>
      <c r="X101" s="19">
        <f t="shared" ca="1" si="186"/>
        <v>0</v>
      </c>
      <c r="Y101" s="19">
        <f t="shared" ca="1" si="186"/>
        <v>0</v>
      </c>
      <c r="Z101" s="19">
        <f t="shared" ca="1" si="186"/>
        <v>0</v>
      </c>
      <c r="AA101" s="19">
        <f t="shared" ca="1" si="186"/>
        <v>0</v>
      </c>
      <c r="AB101" s="19">
        <f t="shared" ca="1" si="186"/>
        <v>0</v>
      </c>
      <c r="AC101" s="19">
        <f t="shared" ca="1" si="186"/>
        <v>0</v>
      </c>
      <c r="AD101" s="19">
        <f t="shared" ca="1" si="186"/>
        <v>0</v>
      </c>
      <c r="AE101" s="19">
        <f t="shared" ca="1" si="186"/>
        <v>0</v>
      </c>
      <c r="AF101" s="19">
        <f t="shared" ca="1" si="186"/>
        <v>0</v>
      </c>
      <c r="AG101" s="19">
        <f t="shared" ca="1" si="186"/>
        <v>0</v>
      </c>
      <c r="AH101" s="19">
        <f t="shared" ca="1" si="186"/>
        <v>0</v>
      </c>
      <c r="AI101" s="19">
        <f t="shared" ca="1" si="186"/>
        <v>0</v>
      </c>
      <c r="AJ101" s="19">
        <f t="shared" ca="1" si="186"/>
        <v>0</v>
      </c>
      <c r="AK101" s="19">
        <f t="shared" ca="1" si="186"/>
        <v>0</v>
      </c>
      <c r="AL101" s="19">
        <f t="shared" ca="1" si="186"/>
        <v>0</v>
      </c>
      <c r="AM101" s="19">
        <f t="shared" ca="1" si="186"/>
        <v>0</v>
      </c>
      <c r="AN101" s="19">
        <f t="shared" ca="1" si="186"/>
        <v>0</v>
      </c>
      <c r="AO101" s="19">
        <f t="shared" ca="1" si="186"/>
        <v>0</v>
      </c>
      <c r="AP101" s="19">
        <f t="shared" ca="1" si="186"/>
        <v>0</v>
      </c>
      <c r="AQ101" s="19">
        <f t="shared" ca="1" si="186"/>
        <v>0</v>
      </c>
      <c r="AR101" s="19">
        <f t="shared" ca="1" si="186"/>
        <v>0</v>
      </c>
      <c r="AS101" s="19">
        <f t="shared" ca="1" si="186"/>
        <v>0</v>
      </c>
      <c r="AT101" s="19">
        <f t="shared" ca="1" si="186"/>
        <v>0</v>
      </c>
      <c r="AU101" s="19">
        <f t="shared" ca="1" si="186"/>
        <v>0</v>
      </c>
      <c r="AV101" s="19">
        <f t="shared" ca="1" si="186"/>
        <v>0</v>
      </c>
      <c r="AW101" s="19">
        <f t="shared" ca="1" si="186"/>
        <v>0</v>
      </c>
      <c r="AX101" s="19">
        <f t="shared" ca="1" si="186"/>
        <v>0</v>
      </c>
      <c r="AY101" s="19">
        <f t="shared" ca="1" si="186"/>
        <v>0</v>
      </c>
      <c r="AZ101" s="19">
        <f t="shared" ca="1" si="186"/>
        <v>0</v>
      </c>
      <c r="BA101" s="19">
        <f t="shared" ca="1" si="186"/>
        <v>0</v>
      </c>
      <c r="BB101" s="19">
        <f t="shared" ca="1" si="186"/>
        <v>0</v>
      </c>
      <c r="BC101" s="19">
        <f t="shared" ca="1" si="186"/>
        <v>0</v>
      </c>
      <c r="BD101" s="19">
        <f t="shared" ca="1" si="186"/>
        <v>0</v>
      </c>
      <c r="BE101" s="19">
        <f t="shared" ca="1" si="186"/>
        <v>0</v>
      </c>
      <c r="BF101" s="19">
        <f t="shared" ca="1" si="186"/>
        <v>0</v>
      </c>
      <c r="BG101" s="19">
        <f t="shared" ca="1" si="186"/>
        <v>0</v>
      </c>
      <c r="BH101" s="19">
        <f t="shared" ca="1" si="186"/>
        <v>4.9476511776447301E-11</v>
      </c>
      <c r="BI101" s="19">
        <f t="shared" ca="1" si="186"/>
        <v>4.9476511776447301E-11</v>
      </c>
      <c r="BJ101" s="19">
        <f t="shared" ca="1" si="186"/>
        <v>4.9476511776447301E-11</v>
      </c>
      <c r="BK101" s="19">
        <f t="shared" ca="1" si="186"/>
        <v>4.9476511776447301E-11</v>
      </c>
      <c r="BL101" s="19">
        <f t="shared" ca="1" si="186"/>
        <v>4.9476511776447301E-11</v>
      </c>
      <c r="BM101" s="19">
        <f t="shared" ca="1" si="186"/>
        <v>4.9476511776447301E-11</v>
      </c>
      <c r="BN101" s="19">
        <f t="shared" ca="1" si="186"/>
        <v>4.9476511776447301E-11</v>
      </c>
      <c r="BO101" s="19">
        <f t="shared" ca="1" si="186"/>
        <v>0</v>
      </c>
      <c r="BP101" s="19">
        <f t="shared" ca="1" si="186"/>
        <v>0</v>
      </c>
      <c r="BQ101" s="19">
        <f t="shared" ca="1" si="186"/>
        <v>0</v>
      </c>
      <c r="BR101" s="19">
        <f t="shared" ca="1" si="186"/>
        <v>0</v>
      </c>
      <c r="BS101" s="19">
        <f t="shared" ca="1" si="186"/>
        <v>0</v>
      </c>
      <c r="BT101" s="19">
        <f t="shared" ref="BT101:CR102" ca="1" si="187">BT$100*$C101</f>
        <v>0</v>
      </c>
      <c r="BU101" s="19">
        <f t="shared" ca="1" si="187"/>
        <v>0</v>
      </c>
      <c r="BV101" s="19">
        <f t="shared" ca="1" si="187"/>
        <v>0</v>
      </c>
      <c r="BW101" s="19">
        <f t="shared" ca="1" si="187"/>
        <v>0</v>
      </c>
      <c r="BX101" s="19">
        <f t="shared" ca="1" si="187"/>
        <v>0</v>
      </c>
      <c r="BY101" s="19">
        <f t="shared" ca="1" si="187"/>
        <v>0</v>
      </c>
      <c r="BZ101" s="19">
        <f t="shared" ca="1" si="187"/>
        <v>0</v>
      </c>
      <c r="CA101" s="19">
        <f t="shared" ca="1" si="187"/>
        <v>2.6193447411060334E-11</v>
      </c>
      <c r="CB101" s="19">
        <f t="shared" ca="1" si="187"/>
        <v>2.6193447411060334E-11</v>
      </c>
      <c r="CC101" s="19">
        <f t="shared" ca="1" si="187"/>
        <v>2.6193447411060334E-11</v>
      </c>
      <c r="CD101" s="19">
        <f t="shared" ca="1" si="187"/>
        <v>2.6193447411060334E-11</v>
      </c>
      <c r="CE101" s="19">
        <f t="shared" ca="1" si="187"/>
        <v>2.6193447411060334E-11</v>
      </c>
      <c r="CF101" s="19">
        <f t="shared" ca="1" si="187"/>
        <v>-3.2014213502407077E-11</v>
      </c>
      <c r="CG101" s="19">
        <f t="shared" ca="1" si="187"/>
        <v>-3.2014213502407077E-11</v>
      </c>
      <c r="CH101" s="19">
        <f t="shared" ca="1" si="187"/>
        <v>-3.2014213502407077E-11</v>
      </c>
      <c r="CI101" s="19">
        <f t="shared" ca="1" si="187"/>
        <v>-3.2014213502407077E-11</v>
      </c>
      <c r="CJ101" s="19">
        <f t="shared" ca="1" si="187"/>
        <v>-3.2014213502407077E-11</v>
      </c>
      <c r="CK101" s="19">
        <f t="shared" ca="1" si="187"/>
        <v>-3.2014213502407077E-11</v>
      </c>
      <c r="CL101" s="19">
        <f t="shared" ca="1" si="187"/>
        <v>-3.2014213502407077E-11</v>
      </c>
      <c r="CM101" s="19">
        <f t="shared" ca="1" si="187"/>
        <v>0</v>
      </c>
      <c r="CN101" s="19">
        <f t="shared" ca="1" si="187"/>
        <v>0</v>
      </c>
      <c r="CO101" s="19">
        <f t="shared" ca="1" si="187"/>
        <v>0</v>
      </c>
      <c r="CP101" s="19">
        <f t="shared" ca="1" si="187"/>
        <v>0</v>
      </c>
      <c r="CQ101" s="19">
        <f t="shared" ca="1" si="187"/>
        <v>0</v>
      </c>
      <c r="CR101" s="19">
        <f t="shared" ca="1" si="187"/>
        <v>64663355.547724344</v>
      </c>
    </row>
    <row r="102" spans="2:96" x14ac:dyDescent="0.3">
      <c r="B102" s="42" t="s">
        <v>129</v>
      </c>
      <c r="C102" s="13">
        <f>1-C101</f>
        <v>0.19999999999999996</v>
      </c>
      <c r="G102" s="19">
        <f ca="1">G$100*$C102</f>
        <v>0</v>
      </c>
      <c r="H102" s="19">
        <f t="shared" ca="1" si="186"/>
        <v>0</v>
      </c>
      <c r="I102" s="19">
        <f t="shared" ca="1" si="186"/>
        <v>0</v>
      </c>
      <c r="J102" s="19">
        <f t="shared" ca="1" si="186"/>
        <v>0</v>
      </c>
      <c r="K102" s="19">
        <f t="shared" ca="1" si="186"/>
        <v>0</v>
      </c>
      <c r="L102" s="19">
        <f t="shared" ca="1" si="186"/>
        <v>0</v>
      </c>
      <c r="M102" s="19">
        <f t="shared" ca="1" si="186"/>
        <v>0</v>
      </c>
      <c r="N102" s="19">
        <f t="shared" ca="1" si="186"/>
        <v>0</v>
      </c>
      <c r="O102" s="19">
        <f t="shared" ca="1" si="186"/>
        <v>0</v>
      </c>
      <c r="P102" s="19">
        <f t="shared" ca="1" si="186"/>
        <v>0</v>
      </c>
      <c r="Q102" s="19">
        <f t="shared" ca="1" si="186"/>
        <v>0</v>
      </c>
      <c r="R102" s="19">
        <f t="shared" ca="1" si="186"/>
        <v>0</v>
      </c>
      <c r="S102" s="19">
        <f t="shared" ca="1" si="186"/>
        <v>0</v>
      </c>
      <c r="T102" s="19">
        <f t="shared" ca="1" si="186"/>
        <v>0</v>
      </c>
      <c r="U102" s="19">
        <f t="shared" ca="1" si="186"/>
        <v>0</v>
      </c>
      <c r="V102" s="19">
        <f t="shared" ca="1" si="186"/>
        <v>0</v>
      </c>
      <c r="W102" s="19">
        <f t="shared" ca="1" si="186"/>
        <v>0</v>
      </c>
      <c r="X102" s="19">
        <f t="shared" ca="1" si="186"/>
        <v>0</v>
      </c>
      <c r="Y102" s="19">
        <f t="shared" ca="1" si="186"/>
        <v>0</v>
      </c>
      <c r="Z102" s="19">
        <f t="shared" ca="1" si="186"/>
        <v>0</v>
      </c>
      <c r="AA102" s="19">
        <f t="shared" ca="1" si="186"/>
        <v>0</v>
      </c>
      <c r="AB102" s="19">
        <f t="shared" ca="1" si="186"/>
        <v>0</v>
      </c>
      <c r="AC102" s="19">
        <f t="shared" ca="1" si="186"/>
        <v>0</v>
      </c>
      <c r="AD102" s="19">
        <f t="shared" ca="1" si="186"/>
        <v>0</v>
      </c>
      <c r="AE102" s="19">
        <f t="shared" ca="1" si="186"/>
        <v>0</v>
      </c>
      <c r="AF102" s="19">
        <f t="shared" ca="1" si="186"/>
        <v>0</v>
      </c>
      <c r="AG102" s="19">
        <f t="shared" ca="1" si="186"/>
        <v>0</v>
      </c>
      <c r="AH102" s="19">
        <f t="shared" ca="1" si="186"/>
        <v>0</v>
      </c>
      <c r="AI102" s="19">
        <f t="shared" ca="1" si="186"/>
        <v>0</v>
      </c>
      <c r="AJ102" s="19">
        <f t="shared" ca="1" si="186"/>
        <v>0</v>
      </c>
      <c r="AK102" s="19">
        <f t="shared" ca="1" si="186"/>
        <v>0</v>
      </c>
      <c r="AL102" s="19">
        <f t="shared" ca="1" si="186"/>
        <v>0</v>
      </c>
      <c r="AM102" s="19">
        <f t="shared" ca="1" si="186"/>
        <v>0</v>
      </c>
      <c r="AN102" s="19">
        <f t="shared" ca="1" si="186"/>
        <v>0</v>
      </c>
      <c r="AO102" s="19">
        <f t="shared" ca="1" si="186"/>
        <v>0</v>
      </c>
      <c r="AP102" s="19">
        <f t="shared" ca="1" si="186"/>
        <v>0</v>
      </c>
      <c r="AQ102" s="19">
        <f t="shared" ca="1" si="186"/>
        <v>0</v>
      </c>
      <c r="AR102" s="19">
        <f t="shared" ca="1" si="186"/>
        <v>0</v>
      </c>
      <c r="AS102" s="19">
        <f t="shared" ca="1" si="186"/>
        <v>0</v>
      </c>
      <c r="AT102" s="19">
        <f t="shared" ca="1" si="186"/>
        <v>0</v>
      </c>
      <c r="AU102" s="19">
        <f t="shared" ca="1" si="186"/>
        <v>0</v>
      </c>
      <c r="AV102" s="19">
        <f t="shared" ca="1" si="186"/>
        <v>0</v>
      </c>
      <c r="AW102" s="19">
        <f t="shared" ca="1" si="186"/>
        <v>0</v>
      </c>
      <c r="AX102" s="19">
        <f t="shared" ca="1" si="186"/>
        <v>0</v>
      </c>
      <c r="AY102" s="19">
        <f t="shared" ca="1" si="186"/>
        <v>0</v>
      </c>
      <c r="AZ102" s="19">
        <f t="shared" ca="1" si="186"/>
        <v>0</v>
      </c>
      <c r="BA102" s="19">
        <f t="shared" ca="1" si="186"/>
        <v>0</v>
      </c>
      <c r="BB102" s="19">
        <f t="shared" ca="1" si="186"/>
        <v>0</v>
      </c>
      <c r="BC102" s="19">
        <f t="shared" ca="1" si="186"/>
        <v>0</v>
      </c>
      <c r="BD102" s="19">
        <f t="shared" ca="1" si="186"/>
        <v>0</v>
      </c>
      <c r="BE102" s="19">
        <f t="shared" ca="1" si="186"/>
        <v>0</v>
      </c>
      <c r="BF102" s="19">
        <f t="shared" ca="1" si="186"/>
        <v>0</v>
      </c>
      <c r="BG102" s="19">
        <f t="shared" ca="1" si="186"/>
        <v>0</v>
      </c>
      <c r="BH102" s="19">
        <f t="shared" ca="1" si="186"/>
        <v>1.2369127944111822E-11</v>
      </c>
      <c r="BI102" s="19">
        <f t="shared" ca="1" si="186"/>
        <v>1.2369127944111822E-11</v>
      </c>
      <c r="BJ102" s="19">
        <f t="shared" ca="1" si="186"/>
        <v>1.2369127944111822E-11</v>
      </c>
      <c r="BK102" s="19">
        <f t="shared" ca="1" si="186"/>
        <v>1.2369127944111822E-11</v>
      </c>
      <c r="BL102" s="19">
        <f t="shared" ca="1" si="186"/>
        <v>1.2369127944111822E-11</v>
      </c>
      <c r="BM102" s="19">
        <f t="shared" ca="1" si="186"/>
        <v>1.2369127944111822E-11</v>
      </c>
      <c r="BN102" s="19">
        <f t="shared" ca="1" si="186"/>
        <v>1.2369127944111822E-11</v>
      </c>
      <c r="BO102" s="19">
        <f t="shared" ca="1" si="186"/>
        <v>0</v>
      </c>
      <c r="BP102" s="19">
        <f t="shared" ca="1" si="186"/>
        <v>0</v>
      </c>
      <c r="BQ102" s="19">
        <f t="shared" ca="1" si="186"/>
        <v>0</v>
      </c>
      <c r="BR102" s="19">
        <f t="shared" ca="1" si="186"/>
        <v>0</v>
      </c>
      <c r="BS102" s="19">
        <f t="shared" ca="1" si="186"/>
        <v>0</v>
      </c>
      <c r="BT102" s="19">
        <f t="shared" ca="1" si="187"/>
        <v>0</v>
      </c>
      <c r="BU102" s="19">
        <f t="shared" ca="1" si="187"/>
        <v>0</v>
      </c>
      <c r="BV102" s="19">
        <f t="shared" ca="1" si="187"/>
        <v>0</v>
      </c>
      <c r="BW102" s="19">
        <f t="shared" ca="1" si="187"/>
        <v>0</v>
      </c>
      <c r="BX102" s="19">
        <f t="shared" ca="1" si="187"/>
        <v>0</v>
      </c>
      <c r="BY102" s="19">
        <f t="shared" ca="1" si="187"/>
        <v>0</v>
      </c>
      <c r="BZ102" s="19">
        <f t="shared" ca="1" si="187"/>
        <v>0</v>
      </c>
      <c r="CA102" s="19">
        <f t="shared" ca="1" si="187"/>
        <v>6.5483618527650819E-12</v>
      </c>
      <c r="CB102" s="19">
        <f t="shared" ca="1" si="187"/>
        <v>6.5483618527650819E-12</v>
      </c>
      <c r="CC102" s="19">
        <f t="shared" ca="1" si="187"/>
        <v>6.5483618527650819E-12</v>
      </c>
      <c r="CD102" s="19">
        <f t="shared" ca="1" si="187"/>
        <v>6.5483618527650819E-12</v>
      </c>
      <c r="CE102" s="19">
        <f t="shared" ca="1" si="187"/>
        <v>6.5483618527650819E-12</v>
      </c>
      <c r="CF102" s="19">
        <f t="shared" ca="1" si="187"/>
        <v>-8.0035533756017659E-12</v>
      </c>
      <c r="CG102" s="19">
        <f t="shared" ca="1" si="187"/>
        <v>-8.0035533756017659E-12</v>
      </c>
      <c r="CH102" s="19">
        <f t="shared" ca="1" si="187"/>
        <v>-8.0035533756017659E-12</v>
      </c>
      <c r="CI102" s="19">
        <f t="shared" ca="1" si="187"/>
        <v>-8.0035533756017659E-12</v>
      </c>
      <c r="CJ102" s="19">
        <f t="shared" ca="1" si="187"/>
        <v>-8.0035533756017659E-12</v>
      </c>
      <c r="CK102" s="19">
        <f t="shared" ca="1" si="187"/>
        <v>-8.0035533756017659E-12</v>
      </c>
      <c r="CL102" s="19">
        <f t="shared" ca="1" si="187"/>
        <v>-8.0035533756017659E-12</v>
      </c>
      <c r="CM102" s="19">
        <f t="shared" ca="1" si="187"/>
        <v>0</v>
      </c>
      <c r="CN102" s="19">
        <f t="shared" ca="1" si="187"/>
        <v>0</v>
      </c>
      <c r="CO102" s="19">
        <f t="shared" ca="1" si="187"/>
        <v>0</v>
      </c>
      <c r="CP102" s="19">
        <f t="shared" ca="1" si="187"/>
        <v>0</v>
      </c>
      <c r="CQ102" s="19">
        <f t="shared" ca="1" si="187"/>
        <v>0</v>
      </c>
      <c r="CR102" s="19">
        <f t="shared" ca="1" si="187"/>
        <v>16165838.886931082</v>
      </c>
    </row>
    <row r="103" spans="2:96" x14ac:dyDescent="0.3"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</row>
    <row r="104" spans="2:96" x14ac:dyDescent="0.3"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</row>
    <row r="105" spans="2:96" x14ac:dyDescent="0.3"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</row>
    <row r="106" spans="2:96" s="35" customFormat="1" x14ac:dyDescent="0.3">
      <c r="B106" s="35" t="s">
        <v>122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</row>
    <row r="107" spans="2:96" x14ac:dyDescent="0.3">
      <c r="B107" s="42" t="s">
        <v>105</v>
      </c>
      <c r="C107" s="43">
        <f ca="1">SUM(G107:CR107)</f>
        <v>-41143299.033538751</v>
      </c>
      <c r="G107" s="19">
        <f ca="1">-G89</f>
        <v>-21921250</v>
      </c>
      <c r="H107" s="19">
        <f t="shared" ref="H107:BS107" ca="1" si="188">-H89</f>
        <v>-2731250</v>
      </c>
      <c r="I107" s="19">
        <f t="shared" ca="1" si="188"/>
        <v>-2731250</v>
      </c>
      <c r="J107" s="19">
        <f t="shared" ca="1" si="188"/>
        <v>-2731250</v>
      </c>
      <c r="K107" s="19">
        <f t="shared" ca="1" si="188"/>
        <v>-2731250</v>
      </c>
      <c r="L107" s="19">
        <f t="shared" ca="1" si="188"/>
        <v>-2731250</v>
      </c>
      <c r="M107" s="19">
        <f t="shared" ca="1" si="188"/>
        <v>-2731250</v>
      </c>
      <c r="N107" s="19">
        <f t="shared" ca="1" si="188"/>
        <v>-2454549.0335387583</v>
      </c>
      <c r="O107" s="19">
        <f t="shared" ca="1" si="188"/>
        <v>0</v>
      </c>
      <c r="P107" s="19">
        <f t="shared" ca="1" si="188"/>
        <v>0</v>
      </c>
      <c r="Q107" s="19">
        <f t="shared" ca="1" si="188"/>
        <v>0</v>
      </c>
      <c r="R107" s="19">
        <f t="shared" ca="1" si="188"/>
        <v>0</v>
      </c>
      <c r="S107" s="19">
        <f t="shared" ca="1" si="188"/>
        <v>0</v>
      </c>
      <c r="T107" s="19">
        <f t="shared" ca="1" si="188"/>
        <v>0</v>
      </c>
      <c r="U107" s="19">
        <f t="shared" ca="1" si="188"/>
        <v>0</v>
      </c>
      <c r="V107" s="19">
        <f t="shared" ca="1" si="188"/>
        <v>0</v>
      </c>
      <c r="W107" s="19">
        <f t="shared" ca="1" si="188"/>
        <v>0</v>
      </c>
      <c r="X107" s="19">
        <f t="shared" ca="1" si="188"/>
        <v>0</v>
      </c>
      <c r="Y107" s="19">
        <f t="shared" ca="1" si="188"/>
        <v>0</v>
      </c>
      <c r="Z107" s="19">
        <f t="shared" ca="1" si="188"/>
        <v>0</v>
      </c>
      <c r="AA107" s="19">
        <f t="shared" ca="1" si="188"/>
        <v>0</v>
      </c>
      <c r="AB107" s="19">
        <f t="shared" ca="1" si="188"/>
        <v>0</v>
      </c>
      <c r="AC107" s="19">
        <f t="shared" ca="1" si="188"/>
        <v>0</v>
      </c>
      <c r="AD107" s="19">
        <f t="shared" ca="1" si="188"/>
        <v>0</v>
      </c>
      <c r="AE107" s="19">
        <f t="shared" ca="1" si="188"/>
        <v>-126666.66666666667</v>
      </c>
      <c r="AF107" s="19">
        <f t="shared" ca="1" si="188"/>
        <v>-126666.66666666667</v>
      </c>
      <c r="AG107" s="19">
        <f t="shared" ca="1" si="188"/>
        <v>-126666.66666666667</v>
      </c>
      <c r="AH107" s="19">
        <f t="shared" ca="1" si="188"/>
        <v>0</v>
      </c>
      <c r="AI107" s="19">
        <f t="shared" ca="1" si="188"/>
        <v>0</v>
      </c>
      <c r="AJ107" s="19">
        <f t="shared" ca="1" si="188"/>
        <v>0</v>
      </c>
      <c r="AK107" s="19">
        <f t="shared" ca="1" si="188"/>
        <v>0</v>
      </c>
      <c r="AL107" s="19">
        <f t="shared" ca="1" si="188"/>
        <v>0</v>
      </c>
      <c r="AM107" s="19">
        <f t="shared" ca="1" si="188"/>
        <v>0</v>
      </c>
      <c r="AN107" s="19">
        <f t="shared" ca="1" si="188"/>
        <v>0</v>
      </c>
      <c r="AO107" s="19">
        <f t="shared" ca="1" si="188"/>
        <v>0</v>
      </c>
      <c r="AP107" s="19">
        <f t="shared" ca="1" si="188"/>
        <v>0</v>
      </c>
      <c r="AQ107" s="19">
        <f t="shared" ca="1" si="188"/>
        <v>0</v>
      </c>
      <c r="AR107" s="19">
        <f t="shared" ca="1" si="188"/>
        <v>0</v>
      </c>
      <c r="AS107" s="19">
        <f t="shared" ca="1" si="188"/>
        <v>0</v>
      </c>
      <c r="AT107" s="19">
        <f t="shared" ca="1" si="188"/>
        <v>0</v>
      </c>
      <c r="AU107" s="19">
        <f t="shared" ca="1" si="188"/>
        <v>0</v>
      </c>
      <c r="AV107" s="19">
        <f t="shared" ca="1" si="188"/>
        <v>0</v>
      </c>
      <c r="AW107" s="19">
        <f t="shared" ca="1" si="188"/>
        <v>0</v>
      </c>
      <c r="AX107" s="19">
        <f t="shared" ca="1" si="188"/>
        <v>0</v>
      </c>
      <c r="AY107" s="19">
        <f t="shared" ca="1" si="188"/>
        <v>0</v>
      </c>
      <c r="AZ107" s="19">
        <f t="shared" ca="1" si="188"/>
        <v>0</v>
      </c>
      <c r="BA107" s="19">
        <f t="shared" ca="1" si="188"/>
        <v>0</v>
      </c>
      <c r="BB107" s="19">
        <f t="shared" ca="1" si="188"/>
        <v>0</v>
      </c>
      <c r="BC107" s="19">
        <f t="shared" ca="1" si="188"/>
        <v>0</v>
      </c>
      <c r="BD107" s="19">
        <f t="shared" ca="1" si="188"/>
        <v>0</v>
      </c>
      <c r="BE107" s="19">
        <f t="shared" ca="1" si="188"/>
        <v>0</v>
      </c>
      <c r="BF107" s="19">
        <f t="shared" ca="1" si="188"/>
        <v>0</v>
      </c>
      <c r="BG107" s="19">
        <f t="shared" ca="1" si="188"/>
        <v>0</v>
      </c>
      <c r="BH107" s="19">
        <f t="shared" ca="1" si="188"/>
        <v>0</v>
      </c>
      <c r="BI107" s="19">
        <f t="shared" ca="1" si="188"/>
        <v>0</v>
      </c>
      <c r="BJ107" s="19">
        <f t="shared" ca="1" si="188"/>
        <v>0</v>
      </c>
      <c r="BK107" s="19">
        <f t="shared" ca="1" si="188"/>
        <v>0</v>
      </c>
      <c r="BL107" s="19">
        <f t="shared" ca="1" si="188"/>
        <v>0</v>
      </c>
      <c r="BM107" s="19">
        <f t="shared" ca="1" si="188"/>
        <v>0</v>
      </c>
      <c r="BN107" s="19">
        <f t="shared" ca="1" si="188"/>
        <v>0</v>
      </c>
      <c r="BO107" s="19">
        <f t="shared" ca="1" si="188"/>
        <v>0</v>
      </c>
      <c r="BP107" s="19">
        <f t="shared" ca="1" si="188"/>
        <v>0</v>
      </c>
      <c r="BQ107" s="19">
        <f t="shared" ca="1" si="188"/>
        <v>0</v>
      </c>
      <c r="BR107" s="19">
        <f t="shared" ca="1" si="188"/>
        <v>0</v>
      </c>
      <c r="BS107" s="19">
        <f t="shared" ca="1" si="188"/>
        <v>0</v>
      </c>
      <c r="BT107" s="19">
        <f t="shared" ref="BT107:CR107" ca="1" si="189">-BT89</f>
        <v>0</v>
      </c>
      <c r="BU107" s="19">
        <f t="shared" ca="1" si="189"/>
        <v>0</v>
      </c>
      <c r="BV107" s="19">
        <f t="shared" ca="1" si="189"/>
        <v>0</v>
      </c>
      <c r="BW107" s="19">
        <f t="shared" ca="1" si="189"/>
        <v>0</v>
      </c>
      <c r="BX107" s="19">
        <f t="shared" ca="1" si="189"/>
        <v>0</v>
      </c>
      <c r="BY107" s="19">
        <f t="shared" ca="1" si="189"/>
        <v>0</v>
      </c>
      <c r="BZ107" s="19">
        <f t="shared" ca="1" si="189"/>
        <v>0</v>
      </c>
      <c r="CA107" s="19">
        <f t="shared" ca="1" si="189"/>
        <v>0</v>
      </c>
      <c r="CB107" s="19">
        <f t="shared" ca="1" si="189"/>
        <v>0</v>
      </c>
      <c r="CC107" s="19">
        <f t="shared" ca="1" si="189"/>
        <v>0</v>
      </c>
      <c r="CD107" s="19">
        <f t="shared" ca="1" si="189"/>
        <v>0</v>
      </c>
      <c r="CE107" s="19">
        <f t="shared" ca="1" si="189"/>
        <v>0</v>
      </c>
      <c r="CF107" s="19">
        <f t="shared" ca="1" si="189"/>
        <v>0</v>
      </c>
      <c r="CG107" s="19">
        <f t="shared" ca="1" si="189"/>
        <v>0</v>
      </c>
      <c r="CH107" s="19">
        <f t="shared" ca="1" si="189"/>
        <v>0</v>
      </c>
      <c r="CI107" s="19">
        <f t="shared" ca="1" si="189"/>
        <v>0</v>
      </c>
      <c r="CJ107" s="19">
        <f t="shared" ca="1" si="189"/>
        <v>0</v>
      </c>
      <c r="CK107" s="19">
        <f t="shared" ca="1" si="189"/>
        <v>0</v>
      </c>
      <c r="CL107" s="19">
        <f t="shared" ca="1" si="189"/>
        <v>0</v>
      </c>
      <c r="CM107" s="19">
        <f t="shared" ca="1" si="189"/>
        <v>0</v>
      </c>
      <c r="CN107" s="19">
        <f t="shared" ca="1" si="189"/>
        <v>0</v>
      </c>
      <c r="CO107" s="19">
        <f t="shared" ca="1" si="189"/>
        <v>0</v>
      </c>
      <c r="CP107" s="19">
        <f t="shared" ca="1" si="189"/>
        <v>0</v>
      </c>
      <c r="CQ107" s="19">
        <f t="shared" ca="1" si="189"/>
        <v>0</v>
      </c>
      <c r="CR107" s="19">
        <f t="shared" ca="1" si="189"/>
        <v>0</v>
      </c>
    </row>
    <row r="108" spans="2:96" x14ac:dyDescent="0.3">
      <c r="B108" s="42" t="s">
        <v>106</v>
      </c>
      <c r="C108" s="43">
        <f ca="1">SUM(G108:CR108)</f>
        <v>147824670.12575161</v>
      </c>
      <c r="G108" s="19">
        <f ca="1">G90+G101</f>
        <v>0</v>
      </c>
      <c r="H108" s="19">
        <f t="shared" ref="H108:BS108" ca="1" si="190">H90+H101</f>
        <v>0</v>
      </c>
      <c r="I108" s="19">
        <f t="shared" ca="1" si="190"/>
        <v>0</v>
      </c>
      <c r="J108" s="19">
        <f t="shared" ca="1" si="190"/>
        <v>0</v>
      </c>
      <c r="K108" s="19">
        <f t="shared" ca="1" si="190"/>
        <v>0</v>
      </c>
      <c r="L108" s="19">
        <f t="shared" ca="1" si="190"/>
        <v>0</v>
      </c>
      <c r="M108" s="19">
        <f t="shared" ca="1" si="190"/>
        <v>0</v>
      </c>
      <c r="N108" s="19">
        <f t="shared" ca="1" si="190"/>
        <v>0</v>
      </c>
      <c r="O108" s="19">
        <f t="shared" ca="1" si="190"/>
        <v>0</v>
      </c>
      <c r="P108" s="19">
        <f t="shared" ca="1" si="190"/>
        <v>0</v>
      </c>
      <c r="Q108" s="19">
        <f t="shared" ca="1" si="190"/>
        <v>0</v>
      </c>
      <c r="R108" s="19">
        <f t="shared" ca="1" si="190"/>
        <v>0</v>
      </c>
      <c r="S108" s="19">
        <f t="shared" ca="1" si="190"/>
        <v>0</v>
      </c>
      <c r="T108" s="19">
        <f t="shared" ca="1" si="190"/>
        <v>0</v>
      </c>
      <c r="U108" s="19">
        <f t="shared" ca="1" si="190"/>
        <v>0</v>
      </c>
      <c r="V108" s="19">
        <f t="shared" ca="1" si="190"/>
        <v>0</v>
      </c>
      <c r="W108" s="19">
        <f t="shared" ca="1" si="190"/>
        <v>0</v>
      </c>
      <c r="X108" s="19">
        <f t="shared" ca="1" si="190"/>
        <v>0</v>
      </c>
      <c r="Y108" s="19">
        <f t="shared" ca="1" si="190"/>
        <v>0</v>
      </c>
      <c r="Z108" s="19">
        <f t="shared" ca="1" si="190"/>
        <v>0</v>
      </c>
      <c r="AA108" s="19">
        <f t="shared" ca="1" si="190"/>
        <v>0</v>
      </c>
      <c r="AB108" s="19">
        <f t="shared" ca="1" si="190"/>
        <v>0</v>
      </c>
      <c r="AC108" s="19">
        <f t="shared" ca="1" si="190"/>
        <v>0</v>
      </c>
      <c r="AD108" s="19">
        <f t="shared" ca="1" si="190"/>
        <v>0</v>
      </c>
      <c r="AE108" s="19">
        <f t="shared" ca="1" si="190"/>
        <v>0</v>
      </c>
      <c r="AF108" s="19">
        <f t="shared" ca="1" si="190"/>
        <v>0</v>
      </c>
      <c r="AG108" s="19">
        <f t="shared" ca="1" si="190"/>
        <v>0</v>
      </c>
      <c r="AH108" s="19">
        <f t="shared" ca="1" si="190"/>
        <v>46062.714373716153</v>
      </c>
      <c r="AI108" s="19">
        <f t="shared" ca="1" si="190"/>
        <v>46062.714373716153</v>
      </c>
      <c r="AJ108" s="19">
        <f t="shared" ca="1" si="190"/>
        <v>116125.21437371615</v>
      </c>
      <c r="AK108" s="19">
        <f t="shared" ca="1" si="190"/>
        <v>116125.21437371615</v>
      </c>
      <c r="AL108" s="19">
        <f t="shared" ca="1" si="190"/>
        <v>116125.21437371615</v>
      </c>
      <c r="AM108" s="19">
        <f t="shared" ca="1" si="190"/>
        <v>499687.71437371621</v>
      </c>
      <c r="AN108" s="19">
        <f t="shared" ca="1" si="190"/>
        <v>499687.71437371621</v>
      </c>
      <c r="AO108" s="19">
        <f t="shared" ca="1" si="190"/>
        <v>499687.71437371621</v>
      </c>
      <c r="AP108" s="19">
        <f t="shared" ca="1" si="190"/>
        <v>499687.71437371621</v>
      </c>
      <c r="AQ108" s="19">
        <f t="shared" ca="1" si="190"/>
        <v>511194.58937371621</v>
      </c>
      <c r="AR108" s="19">
        <f t="shared" ca="1" si="190"/>
        <v>511194.58937371621</v>
      </c>
      <c r="AS108" s="19">
        <f t="shared" ca="1" si="190"/>
        <v>511194.58937371621</v>
      </c>
      <c r="AT108" s="19">
        <f t="shared" ca="1" si="190"/>
        <v>511194.58937371621</v>
      </c>
      <c r="AU108" s="19">
        <f t="shared" ca="1" si="190"/>
        <v>511194.58937371621</v>
      </c>
      <c r="AV108" s="19">
        <f t="shared" ca="1" si="190"/>
        <v>522701.46437371621</v>
      </c>
      <c r="AW108" s="19">
        <f t="shared" ca="1" si="190"/>
        <v>522701.46437371621</v>
      </c>
      <c r="AX108" s="19">
        <f t="shared" ca="1" si="190"/>
        <v>522701.46437371621</v>
      </c>
      <c r="AY108" s="19">
        <f t="shared" ca="1" si="190"/>
        <v>522701.46437371621</v>
      </c>
      <c r="AZ108" s="19">
        <f t="shared" ca="1" si="190"/>
        <v>522701.46437371621</v>
      </c>
      <c r="BA108" s="19">
        <f t="shared" ca="1" si="190"/>
        <v>522701.46437371621</v>
      </c>
      <c r="BB108" s="19">
        <f t="shared" ca="1" si="190"/>
        <v>522701.46437371621</v>
      </c>
      <c r="BC108" s="19">
        <f t="shared" ca="1" si="190"/>
        <v>534553.5456237162</v>
      </c>
      <c r="BD108" s="19">
        <f t="shared" ca="1" si="190"/>
        <v>534553.5456237162</v>
      </c>
      <c r="BE108" s="19">
        <f t="shared" ca="1" si="190"/>
        <v>534553.5456237162</v>
      </c>
      <c r="BF108" s="19">
        <f t="shared" ca="1" si="190"/>
        <v>534553.5456237162</v>
      </c>
      <c r="BG108" s="19">
        <f t="shared" ca="1" si="190"/>
        <v>534553.5456237162</v>
      </c>
      <c r="BH108" s="19">
        <f t="shared" ca="1" si="190"/>
        <v>546405.62687371613</v>
      </c>
      <c r="BI108" s="19">
        <f t="shared" ca="1" si="190"/>
        <v>546405.62687371613</v>
      </c>
      <c r="BJ108" s="19">
        <f t="shared" ca="1" si="190"/>
        <v>546405.62687371613</v>
      </c>
      <c r="BK108" s="19">
        <f t="shared" ca="1" si="190"/>
        <v>546405.62687371613</v>
      </c>
      <c r="BL108" s="19">
        <f t="shared" ca="1" si="190"/>
        <v>546405.62687371613</v>
      </c>
      <c r="BM108" s="19">
        <f t="shared" ca="1" si="190"/>
        <v>546405.62687371613</v>
      </c>
      <c r="BN108" s="19">
        <f t="shared" ca="1" si="190"/>
        <v>546405.62687371613</v>
      </c>
      <c r="BO108" s="19">
        <f t="shared" ca="1" si="190"/>
        <v>558613.27056121605</v>
      </c>
      <c r="BP108" s="19">
        <f t="shared" ca="1" si="190"/>
        <v>558613.27056121605</v>
      </c>
      <c r="BQ108" s="19">
        <f t="shared" ca="1" si="190"/>
        <v>558613.27056121605</v>
      </c>
      <c r="BR108" s="19">
        <f t="shared" ca="1" si="190"/>
        <v>558613.27056121605</v>
      </c>
      <c r="BS108" s="19">
        <f t="shared" ca="1" si="190"/>
        <v>558613.27056121605</v>
      </c>
      <c r="BT108" s="19">
        <f t="shared" ref="BT108:CR108" ca="1" si="191">BT90+BT101</f>
        <v>570820.91424871597</v>
      </c>
      <c r="BU108" s="19">
        <f t="shared" ca="1" si="191"/>
        <v>570820.91424871597</v>
      </c>
      <c r="BV108" s="19">
        <f t="shared" ca="1" si="191"/>
        <v>570820.91424871597</v>
      </c>
      <c r="BW108" s="19">
        <f t="shared" ca="1" si="191"/>
        <v>570820.91424871597</v>
      </c>
      <c r="BX108" s="19">
        <f t="shared" ca="1" si="191"/>
        <v>570820.91424871597</v>
      </c>
      <c r="BY108" s="19">
        <f t="shared" ca="1" si="191"/>
        <v>570820.91424871597</v>
      </c>
      <c r="BZ108" s="19">
        <f t="shared" ca="1" si="191"/>
        <v>570820.91424871597</v>
      </c>
      <c r="CA108" s="19">
        <f t="shared" ca="1" si="191"/>
        <v>583394.78724684101</v>
      </c>
      <c r="CB108" s="19">
        <f t="shared" ca="1" si="191"/>
        <v>583394.78724684101</v>
      </c>
      <c r="CC108" s="19">
        <f t="shared" ca="1" si="191"/>
        <v>583394.78724684101</v>
      </c>
      <c r="CD108" s="19">
        <f t="shared" ca="1" si="191"/>
        <v>583394.78724684101</v>
      </c>
      <c r="CE108" s="19">
        <f t="shared" ca="1" si="191"/>
        <v>583394.78724684101</v>
      </c>
      <c r="CF108" s="19">
        <f t="shared" ca="1" si="191"/>
        <v>595968.66024496616</v>
      </c>
      <c r="CG108" s="19">
        <f t="shared" ca="1" si="191"/>
        <v>595968.66024496616</v>
      </c>
      <c r="CH108" s="19">
        <f t="shared" ca="1" si="191"/>
        <v>595968.66024496616</v>
      </c>
      <c r="CI108" s="19">
        <f t="shared" ca="1" si="191"/>
        <v>595968.66024496616</v>
      </c>
      <c r="CJ108" s="19">
        <f t="shared" ca="1" si="191"/>
        <v>595968.66024496616</v>
      </c>
      <c r="CK108" s="19">
        <f t="shared" ca="1" si="191"/>
        <v>595968.66024496616</v>
      </c>
      <c r="CL108" s="19">
        <f t="shared" ca="1" si="191"/>
        <v>595968.66024496616</v>
      </c>
      <c r="CM108" s="19">
        <f t="shared" ca="1" si="191"/>
        <v>608919.7494330348</v>
      </c>
      <c r="CN108" s="19">
        <f t="shared" ca="1" si="191"/>
        <v>608919.7494330348</v>
      </c>
      <c r="CO108" s="19">
        <f t="shared" ca="1" si="191"/>
        <v>608919.7494330348</v>
      </c>
      <c r="CP108" s="19">
        <f t="shared" ca="1" si="191"/>
        <v>608919.7494330348</v>
      </c>
      <c r="CQ108" s="19">
        <f t="shared" ca="1" si="191"/>
        <v>608919.7494330348</v>
      </c>
      <c r="CR108" s="19">
        <f t="shared" ca="1" si="191"/>
        <v>115750761.82500774</v>
      </c>
    </row>
    <row r="109" spans="2:96" x14ac:dyDescent="0.3">
      <c r="B109" s="42" t="s">
        <v>130</v>
      </c>
      <c r="C109" s="44">
        <f ca="1">C108+C107</f>
        <v>106681371.09221286</v>
      </c>
      <c r="G109" s="19">
        <f ca="1">SUM(G107:G108)</f>
        <v>-21921250</v>
      </c>
      <c r="H109" s="19">
        <f t="shared" ref="H109:BS109" ca="1" si="192">SUM(H107:H108)</f>
        <v>-2731250</v>
      </c>
      <c r="I109" s="19">
        <f t="shared" ca="1" si="192"/>
        <v>-2731250</v>
      </c>
      <c r="J109" s="19">
        <f t="shared" ca="1" si="192"/>
        <v>-2731250</v>
      </c>
      <c r="K109" s="19">
        <f t="shared" ca="1" si="192"/>
        <v>-2731250</v>
      </c>
      <c r="L109" s="19">
        <f t="shared" ca="1" si="192"/>
        <v>-2731250</v>
      </c>
      <c r="M109" s="19">
        <f t="shared" ca="1" si="192"/>
        <v>-2731250</v>
      </c>
      <c r="N109" s="19">
        <f t="shared" ca="1" si="192"/>
        <v>-2454549.0335387583</v>
      </c>
      <c r="O109" s="19">
        <f t="shared" ca="1" si="192"/>
        <v>0</v>
      </c>
      <c r="P109" s="19">
        <f t="shared" ca="1" si="192"/>
        <v>0</v>
      </c>
      <c r="Q109" s="19">
        <f t="shared" ca="1" si="192"/>
        <v>0</v>
      </c>
      <c r="R109" s="19">
        <f t="shared" ca="1" si="192"/>
        <v>0</v>
      </c>
      <c r="S109" s="19">
        <f t="shared" ca="1" si="192"/>
        <v>0</v>
      </c>
      <c r="T109" s="19">
        <f t="shared" ca="1" si="192"/>
        <v>0</v>
      </c>
      <c r="U109" s="19">
        <f t="shared" ca="1" si="192"/>
        <v>0</v>
      </c>
      <c r="V109" s="19">
        <f t="shared" ca="1" si="192"/>
        <v>0</v>
      </c>
      <c r="W109" s="19">
        <f t="shared" ca="1" si="192"/>
        <v>0</v>
      </c>
      <c r="X109" s="19">
        <f t="shared" ca="1" si="192"/>
        <v>0</v>
      </c>
      <c r="Y109" s="19">
        <f t="shared" ca="1" si="192"/>
        <v>0</v>
      </c>
      <c r="Z109" s="19">
        <f t="shared" ca="1" si="192"/>
        <v>0</v>
      </c>
      <c r="AA109" s="19">
        <f t="shared" ca="1" si="192"/>
        <v>0</v>
      </c>
      <c r="AB109" s="19">
        <f t="shared" ca="1" si="192"/>
        <v>0</v>
      </c>
      <c r="AC109" s="19">
        <f t="shared" ca="1" si="192"/>
        <v>0</v>
      </c>
      <c r="AD109" s="19">
        <f t="shared" ca="1" si="192"/>
        <v>0</v>
      </c>
      <c r="AE109" s="19">
        <f t="shared" ca="1" si="192"/>
        <v>-126666.66666666667</v>
      </c>
      <c r="AF109" s="19">
        <f t="shared" ca="1" si="192"/>
        <v>-126666.66666666667</v>
      </c>
      <c r="AG109" s="19">
        <f t="shared" ca="1" si="192"/>
        <v>-126666.66666666667</v>
      </c>
      <c r="AH109" s="19">
        <f t="shared" ca="1" si="192"/>
        <v>46062.714373716153</v>
      </c>
      <c r="AI109" s="19">
        <f t="shared" ca="1" si="192"/>
        <v>46062.714373716153</v>
      </c>
      <c r="AJ109" s="19">
        <f t="shared" ca="1" si="192"/>
        <v>116125.21437371615</v>
      </c>
      <c r="AK109" s="19">
        <f t="shared" ca="1" si="192"/>
        <v>116125.21437371615</v>
      </c>
      <c r="AL109" s="19">
        <f t="shared" ca="1" si="192"/>
        <v>116125.21437371615</v>
      </c>
      <c r="AM109" s="19">
        <f t="shared" ca="1" si="192"/>
        <v>499687.71437371621</v>
      </c>
      <c r="AN109" s="19">
        <f t="shared" ca="1" si="192"/>
        <v>499687.71437371621</v>
      </c>
      <c r="AO109" s="19">
        <f t="shared" ca="1" si="192"/>
        <v>499687.71437371621</v>
      </c>
      <c r="AP109" s="19">
        <f t="shared" ca="1" si="192"/>
        <v>499687.71437371621</v>
      </c>
      <c r="AQ109" s="19">
        <f t="shared" ca="1" si="192"/>
        <v>511194.58937371621</v>
      </c>
      <c r="AR109" s="19">
        <f t="shared" ca="1" si="192"/>
        <v>511194.58937371621</v>
      </c>
      <c r="AS109" s="19">
        <f t="shared" ca="1" si="192"/>
        <v>511194.58937371621</v>
      </c>
      <c r="AT109" s="19">
        <f t="shared" ca="1" si="192"/>
        <v>511194.58937371621</v>
      </c>
      <c r="AU109" s="19">
        <f t="shared" ca="1" si="192"/>
        <v>511194.58937371621</v>
      </c>
      <c r="AV109" s="19">
        <f t="shared" ca="1" si="192"/>
        <v>522701.46437371621</v>
      </c>
      <c r="AW109" s="19">
        <f t="shared" ca="1" si="192"/>
        <v>522701.46437371621</v>
      </c>
      <c r="AX109" s="19">
        <f t="shared" ca="1" si="192"/>
        <v>522701.46437371621</v>
      </c>
      <c r="AY109" s="19">
        <f t="shared" ca="1" si="192"/>
        <v>522701.46437371621</v>
      </c>
      <c r="AZ109" s="19">
        <f t="shared" ca="1" si="192"/>
        <v>522701.46437371621</v>
      </c>
      <c r="BA109" s="19">
        <f t="shared" ca="1" si="192"/>
        <v>522701.46437371621</v>
      </c>
      <c r="BB109" s="19">
        <f t="shared" ca="1" si="192"/>
        <v>522701.46437371621</v>
      </c>
      <c r="BC109" s="19">
        <f t="shared" ca="1" si="192"/>
        <v>534553.5456237162</v>
      </c>
      <c r="BD109" s="19">
        <f t="shared" ca="1" si="192"/>
        <v>534553.5456237162</v>
      </c>
      <c r="BE109" s="19">
        <f t="shared" ca="1" si="192"/>
        <v>534553.5456237162</v>
      </c>
      <c r="BF109" s="19">
        <f t="shared" ca="1" si="192"/>
        <v>534553.5456237162</v>
      </c>
      <c r="BG109" s="19">
        <f t="shared" ca="1" si="192"/>
        <v>534553.5456237162</v>
      </c>
      <c r="BH109" s="19">
        <f t="shared" ca="1" si="192"/>
        <v>546405.62687371613</v>
      </c>
      <c r="BI109" s="19">
        <f t="shared" ca="1" si="192"/>
        <v>546405.62687371613</v>
      </c>
      <c r="BJ109" s="19">
        <f t="shared" ca="1" si="192"/>
        <v>546405.62687371613</v>
      </c>
      <c r="BK109" s="19">
        <f t="shared" ca="1" si="192"/>
        <v>546405.62687371613</v>
      </c>
      <c r="BL109" s="19">
        <f t="shared" ca="1" si="192"/>
        <v>546405.62687371613</v>
      </c>
      <c r="BM109" s="19">
        <f t="shared" ca="1" si="192"/>
        <v>546405.62687371613</v>
      </c>
      <c r="BN109" s="19">
        <f t="shared" ca="1" si="192"/>
        <v>546405.62687371613</v>
      </c>
      <c r="BO109" s="19">
        <f t="shared" ca="1" si="192"/>
        <v>558613.27056121605</v>
      </c>
      <c r="BP109" s="19">
        <f t="shared" ca="1" si="192"/>
        <v>558613.27056121605</v>
      </c>
      <c r="BQ109" s="19">
        <f t="shared" ca="1" si="192"/>
        <v>558613.27056121605</v>
      </c>
      <c r="BR109" s="19">
        <f t="shared" ca="1" si="192"/>
        <v>558613.27056121605</v>
      </c>
      <c r="BS109" s="19">
        <f t="shared" ca="1" si="192"/>
        <v>558613.27056121605</v>
      </c>
      <c r="BT109" s="19">
        <f t="shared" ref="BT109:CR109" ca="1" si="193">SUM(BT107:BT108)</f>
        <v>570820.91424871597</v>
      </c>
      <c r="BU109" s="19">
        <f t="shared" ca="1" si="193"/>
        <v>570820.91424871597</v>
      </c>
      <c r="BV109" s="19">
        <f t="shared" ca="1" si="193"/>
        <v>570820.91424871597</v>
      </c>
      <c r="BW109" s="19">
        <f t="shared" ca="1" si="193"/>
        <v>570820.91424871597</v>
      </c>
      <c r="BX109" s="19">
        <f t="shared" ca="1" si="193"/>
        <v>570820.91424871597</v>
      </c>
      <c r="BY109" s="19">
        <f t="shared" ca="1" si="193"/>
        <v>570820.91424871597</v>
      </c>
      <c r="BZ109" s="19">
        <f t="shared" ca="1" si="193"/>
        <v>570820.91424871597</v>
      </c>
      <c r="CA109" s="19">
        <f t="shared" ca="1" si="193"/>
        <v>583394.78724684101</v>
      </c>
      <c r="CB109" s="19">
        <f t="shared" ca="1" si="193"/>
        <v>583394.78724684101</v>
      </c>
      <c r="CC109" s="19">
        <f t="shared" ca="1" si="193"/>
        <v>583394.78724684101</v>
      </c>
      <c r="CD109" s="19">
        <f t="shared" ca="1" si="193"/>
        <v>583394.78724684101</v>
      </c>
      <c r="CE109" s="19">
        <f t="shared" ca="1" si="193"/>
        <v>583394.78724684101</v>
      </c>
      <c r="CF109" s="19">
        <f t="shared" ca="1" si="193"/>
        <v>595968.66024496616</v>
      </c>
      <c r="CG109" s="19">
        <f t="shared" ca="1" si="193"/>
        <v>595968.66024496616</v>
      </c>
      <c r="CH109" s="19">
        <f t="shared" ca="1" si="193"/>
        <v>595968.66024496616</v>
      </c>
      <c r="CI109" s="19">
        <f t="shared" ca="1" si="193"/>
        <v>595968.66024496616</v>
      </c>
      <c r="CJ109" s="19">
        <f t="shared" ca="1" si="193"/>
        <v>595968.66024496616</v>
      </c>
      <c r="CK109" s="19">
        <f t="shared" ca="1" si="193"/>
        <v>595968.66024496616</v>
      </c>
      <c r="CL109" s="19">
        <f t="shared" ca="1" si="193"/>
        <v>595968.66024496616</v>
      </c>
      <c r="CM109" s="19">
        <f t="shared" ca="1" si="193"/>
        <v>608919.7494330348</v>
      </c>
      <c r="CN109" s="19">
        <f t="shared" ca="1" si="193"/>
        <v>608919.7494330348</v>
      </c>
      <c r="CO109" s="19">
        <f t="shared" ca="1" si="193"/>
        <v>608919.7494330348</v>
      </c>
      <c r="CP109" s="19">
        <f t="shared" ca="1" si="193"/>
        <v>608919.7494330348</v>
      </c>
      <c r="CQ109" s="19">
        <f t="shared" ca="1" si="193"/>
        <v>608919.7494330348</v>
      </c>
      <c r="CR109" s="19">
        <f t="shared" ca="1" si="193"/>
        <v>115750761.82500774</v>
      </c>
    </row>
    <row r="110" spans="2:96" x14ac:dyDescent="0.3">
      <c r="B110" s="42" t="s">
        <v>131</v>
      </c>
      <c r="C110" s="45">
        <f ca="1">XIRR(G109:CR109,$G$6:$CR$6)</f>
        <v>0.21448310017585759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</row>
    <row r="111" spans="2:96" x14ac:dyDescent="0.3">
      <c r="B111" s="42" t="s">
        <v>132</v>
      </c>
      <c r="C111" s="46">
        <f ca="1">C108/-C107</f>
        <v>3.5929221428074958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</row>
    <row r="112" spans="2:96" x14ac:dyDescent="0.3"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</row>
    <row r="113" spans="2:96" x14ac:dyDescent="0.3"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</row>
    <row r="114" spans="2:96" s="35" customFormat="1" x14ac:dyDescent="0.3">
      <c r="B114" s="35" t="s">
        <v>125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</row>
    <row r="115" spans="2:96" x14ac:dyDescent="0.3">
      <c r="B115" s="42" t="s">
        <v>105</v>
      </c>
      <c r="C115" s="43">
        <f ca="1">SUM(G115:CR115)</f>
        <v>-2165436.7912388826</v>
      </c>
      <c r="G115" s="19">
        <f ca="1">-G94</f>
        <v>-1153750.0000000009</v>
      </c>
      <c r="H115" s="19">
        <f t="shared" ref="H115:BS115" ca="1" si="194">-H94</f>
        <v>-143750.00000000012</v>
      </c>
      <c r="I115" s="19">
        <f t="shared" ca="1" si="194"/>
        <v>-143750.00000000012</v>
      </c>
      <c r="J115" s="19">
        <f t="shared" ca="1" si="194"/>
        <v>-143750.00000000012</v>
      </c>
      <c r="K115" s="19">
        <f t="shared" ca="1" si="194"/>
        <v>-143750.00000000012</v>
      </c>
      <c r="L115" s="19">
        <f t="shared" ca="1" si="194"/>
        <v>-143750.00000000012</v>
      </c>
      <c r="M115" s="19">
        <f t="shared" ca="1" si="194"/>
        <v>-143750.00000000012</v>
      </c>
      <c r="N115" s="19">
        <f t="shared" ca="1" si="194"/>
        <v>-129186.79123888213</v>
      </c>
      <c r="O115" s="19">
        <f t="shared" ca="1" si="194"/>
        <v>0</v>
      </c>
      <c r="P115" s="19">
        <f t="shared" ca="1" si="194"/>
        <v>0</v>
      </c>
      <c r="Q115" s="19">
        <f t="shared" ca="1" si="194"/>
        <v>0</v>
      </c>
      <c r="R115" s="19">
        <f t="shared" ca="1" si="194"/>
        <v>0</v>
      </c>
      <c r="S115" s="19">
        <f t="shared" ca="1" si="194"/>
        <v>0</v>
      </c>
      <c r="T115" s="19">
        <f t="shared" ca="1" si="194"/>
        <v>0</v>
      </c>
      <c r="U115" s="19">
        <f t="shared" ca="1" si="194"/>
        <v>0</v>
      </c>
      <c r="V115" s="19">
        <f t="shared" ca="1" si="194"/>
        <v>0</v>
      </c>
      <c r="W115" s="19">
        <f t="shared" ca="1" si="194"/>
        <v>0</v>
      </c>
      <c r="X115" s="19">
        <f t="shared" ca="1" si="194"/>
        <v>0</v>
      </c>
      <c r="Y115" s="19">
        <f t="shared" ca="1" si="194"/>
        <v>0</v>
      </c>
      <c r="Z115" s="19">
        <f t="shared" ca="1" si="194"/>
        <v>0</v>
      </c>
      <c r="AA115" s="19">
        <f t="shared" ca="1" si="194"/>
        <v>0</v>
      </c>
      <c r="AB115" s="19">
        <f t="shared" ca="1" si="194"/>
        <v>0</v>
      </c>
      <c r="AC115" s="19">
        <f t="shared" ca="1" si="194"/>
        <v>0</v>
      </c>
      <c r="AD115" s="19">
        <f t="shared" ca="1" si="194"/>
        <v>0</v>
      </c>
      <c r="AE115" s="19">
        <f t="shared" ca="1" si="194"/>
        <v>-6666.6666666666733</v>
      </c>
      <c r="AF115" s="19">
        <f t="shared" ca="1" si="194"/>
        <v>-6666.6666666666733</v>
      </c>
      <c r="AG115" s="19">
        <f t="shared" ca="1" si="194"/>
        <v>-6666.6666666666733</v>
      </c>
      <c r="AH115" s="19">
        <f t="shared" ca="1" si="194"/>
        <v>0</v>
      </c>
      <c r="AI115" s="19">
        <f t="shared" ca="1" si="194"/>
        <v>0</v>
      </c>
      <c r="AJ115" s="19">
        <f t="shared" ca="1" si="194"/>
        <v>0</v>
      </c>
      <c r="AK115" s="19">
        <f t="shared" ca="1" si="194"/>
        <v>0</v>
      </c>
      <c r="AL115" s="19">
        <f t="shared" ca="1" si="194"/>
        <v>0</v>
      </c>
      <c r="AM115" s="19">
        <f t="shared" ca="1" si="194"/>
        <v>0</v>
      </c>
      <c r="AN115" s="19">
        <f t="shared" ca="1" si="194"/>
        <v>0</v>
      </c>
      <c r="AO115" s="19">
        <f t="shared" ca="1" si="194"/>
        <v>0</v>
      </c>
      <c r="AP115" s="19">
        <f t="shared" ca="1" si="194"/>
        <v>0</v>
      </c>
      <c r="AQ115" s="19">
        <f t="shared" ca="1" si="194"/>
        <v>0</v>
      </c>
      <c r="AR115" s="19">
        <f t="shared" ca="1" si="194"/>
        <v>0</v>
      </c>
      <c r="AS115" s="19">
        <f t="shared" ca="1" si="194"/>
        <v>0</v>
      </c>
      <c r="AT115" s="19">
        <f t="shared" ca="1" si="194"/>
        <v>0</v>
      </c>
      <c r="AU115" s="19">
        <f t="shared" ca="1" si="194"/>
        <v>0</v>
      </c>
      <c r="AV115" s="19">
        <f t="shared" ca="1" si="194"/>
        <v>0</v>
      </c>
      <c r="AW115" s="19">
        <f t="shared" ca="1" si="194"/>
        <v>0</v>
      </c>
      <c r="AX115" s="19">
        <f t="shared" ca="1" si="194"/>
        <v>0</v>
      </c>
      <c r="AY115" s="19">
        <f t="shared" ca="1" si="194"/>
        <v>0</v>
      </c>
      <c r="AZ115" s="19">
        <f t="shared" ca="1" si="194"/>
        <v>0</v>
      </c>
      <c r="BA115" s="19">
        <f t="shared" ca="1" si="194"/>
        <v>0</v>
      </c>
      <c r="BB115" s="19">
        <f t="shared" ca="1" si="194"/>
        <v>0</v>
      </c>
      <c r="BC115" s="19">
        <f t="shared" ca="1" si="194"/>
        <v>0</v>
      </c>
      <c r="BD115" s="19">
        <f t="shared" ca="1" si="194"/>
        <v>0</v>
      </c>
      <c r="BE115" s="19">
        <f t="shared" ca="1" si="194"/>
        <v>0</v>
      </c>
      <c r="BF115" s="19">
        <f t="shared" ca="1" si="194"/>
        <v>0</v>
      </c>
      <c r="BG115" s="19">
        <f t="shared" ca="1" si="194"/>
        <v>0</v>
      </c>
      <c r="BH115" s="19">
        <f t="shared" ca="1" si="194"/>
        <v>0</v>
      </c>
      <c r="BI115" s="19">
        <f t="shared" ca="1" si="194"/>
        <v>0</v>
      </c>
      <c r="BJ115" s="19">
        <f t="shared" ca="1" si="194"/>
        <v>0</v>
      </c>
      <c r="BK115" s="19">
        <f t="shared" ca="1" si="194"/>
        <v>0</v>
      </c>
      <c r="BL115" s="19">
        <f t="shared" ca="1" si="194"/>
        <v>0</v>
      </c>
      <c r="BM115" s="19">
        <f t="shared" ca="1" si="194"/>
        <v>0</v>
      </c>
      <c r="BN115" s="19">
        <f t="shared" ca="1" si="194"/>
        <v>0</v>
      </c>
      <c r="BO115" s="19">
        <f t="shared" ca="1" si="194"/>
        <v>0</v>
      </c>
      <c r="BP115" s="19">
        <f t="shared" ca="1" si="194"/>
        <v>0</v>
      </c>
      <c r="BQ115" s="19">
        <f t="shared" ca="1" si="194"/>
        <v>0</v>
      </c>
      <c r="BR115" s="19">
        <f t="shared" ca="1" si="194"/>
        <v>0</v>
      </c>
      <c r="BS115" s="19">
        <f t="shared" ca="1" si="194"/>
        <v>0</v>
      </c>
      <c r="BT115" s="19">
        <f t="shared" ref="BT115:CR115" ca="1" si="195">-BT94</f>
        <v>0</v>
      </c>
      <c r="BU115" s="19">
        <f t="shared" ca="1" si="195"/>
        <v>0</v>
      </c>
      <c r="BV115" s="19">
        <f t="shared" ca="1" si="195"/>
        <v>0</v>
      </c>
      <c r="BW115" s="19">
        <f t="shared" ca="1" si="195"/>
        <v>0</v>
      </c>
      <c r="BX115" s="19">
        <f t="shared" ca="1" si="195"/>
        <v>0</v>
      </c>
      <c r="BY115" s="19">
        <f t="shared" ca="1" si="195"/>
        <v>0</v>
      </c>
      <c r="BZ115" s="19">
        <f t="shared" ca="1" si="195"/>
        <v>0</v>
      </c>
      <c r="CA115" s="19">
        <f t="shared" ca="1" si="195"/>
        <v>0</v>
      </c>
      <c r="CB115" s="19">
        <f t="shared" ca="1" si="195"/>
        <v>0</v>
      </c>
      <c r="CC115" s="19">
        <f t="shared" ca="1" si="195"/>
        <v>0</v>
      </c>
      <c r="CD115" s="19">
        <f t="shared" ca="1" si="195"/>
        <v>0</v>
      </c>
      <c r="CE115" s="19">
        <f t="shared" ca="1" si="195"/>
        <v>0</v>
      </c>
      <c r="CF115" s="19">
        <f t="shared" ca="1" si="195"/>
        <v>0</v>
      </c>
      <c r="CG115" s="19">
        <f t="shared" ca="1" si="195"/>
        <v>0</v>
      </c>
      <c r="CH115" s="19">
        <f t="shared" ca="1" si="195"/>
        <v>0</v>
      </c>
      <c r="CI115" s="19">
        <f t="shared" ca="1" si="195"/>
        <v>0</v>
      </c>
      <c r="CJ115" s="19">
        <f t="shared" ca="1" si="195"/>
        <v>0</v>
      </c>
      <c r="CK115" s="19">
        <f t="shared" ca="1" si="195"/>
        <v>0</v>
      </c>
      <c r="CL115" s="19">
        <f t="shared" ca="1" si="195"/>
        <v>0</v>
      </c>
      <c r="CM115" s="19">
        <f t="shared" ca="1" si="195"/>
        <v>0</v>
      </c>
      <c r="CN115" s="19">
        <f t="shared" ca="1" si="195"/>
        <v>0</v>
      </c>
      <c r="CO115" s="19">
        <f t="shared" ca="1" si="195"/>
        <v>0</v>
      </c>
      <c r="CP115" s="19">
        <f t="shared" ca="1" si="195"/>
        <v>0</v>
      </c>
      <c r="CQ115" s="19">
        <f t="shared" ca="1" si="195"/>
        <v>0</v>
      </c>
      <c r="CR115" s="19">
        <f t="shared" ca="1" si="195"/>
        <v>0</v>
      </c>
    </row>
    <row r="116" spans="2:96" x14ac:dyDescent="0.3">
      <c r="B116" s="42" t="s">
        <v>106</v>
      </c>
      <c r="C116" s="43">
        <f ca="1">SUM(G116:CR116)</f>
        <v>20542750.180511471</v>
      </c>
      <c r="G116" s="19">
        <f ca="1">G95+G102</f>
        <v>0</v>
      </c>
      <c r="H116" s="19">
        <f t="shared" ref="H116:BS116" ca="1" si="196">H95+H102</f>
        <v>0</v>
      </c>
      <c r="I116" s="19">
        <f t="shared" ca="1" si="196"/>
        <v>0</v>
      </c>
      <c r="J116" s="19">
        <f t="shared" ca="1" si="196"/>
        <v>0</v>
      </c>
      <c r="K116" s="19">
        <f t="shared" ca="1" si="196"/>
        <v>0</v>
      </c>
      <c r="L116" s="19">
        <f t="shared" ca="1" si="196"/>
        <v>0</v>
      </c>
      <c r="M116" s="19">
        <f t="shared" ca="1" si="196"/>
        <v>0</v>
      </c>
      <c r="N116" s="19">
        <f t="shared" ca="1" si="196"/>
        <v>0</v>
      </c>
      <c r="O116" s="19">
        <f t="shared" ca="1" si="196"/>
        <v>0</v>
      </c>
      <c r="P116" s="19">
        <f t="shared" ca="1" si="196"/>
        <v>0</v>
      </c>
      <c r="Q116" s="19">
        <f t="shared" ca="1" si="196"/>
        <v>0</v>
      </c>
      <c r="R116" s="19">
        <f t="shared" ca="1" si="196"/>
        <v>0</v>
      </c>
      <c r="S116" s="19">
        <f t="shared" ca="1" si="196"/>
        <v>0</v>
      </c>
      <c r="T116" s="19">
        <f t="shared" ca="1" si="196"/>
        <v>0</v>
      </c>
      <c r="U116" s="19">
        <f t="shared" ca="1" si="196"/>
        <v>0</v>
      </c>
      <c r="V116" s="19">
        <f t="shared" ca="1" si="196"/>
        <v>0</v>
      </c>
      <c r="W116" s="19">
        <f t="shared" ca="1" si="196"/>
        <v>0</v>
      </c>
      <c r="X116" s="19">
        <f t="shared" ca="1" si="196"/>
        <v>0</v>
      </c>
      <c r="Y116" s="19">
        <f t="shared" ca="1" si="196"/>
        <v>0</v>
      </c>
      <c r="Z116" s="19">
        <f t="shared" ca="1" si="196"/>
        <v>0</v>
      </c>
      <c r="AA116" s="19">
        <f t="shared" ca="1" si="196"/>
        <v>0</v>
      </c>
      <c r="AB116" s="19">
        <f t="shared" ca="1" si="196"/>
        <v>0</v>
      </c>
      <c r="AC116" s="19">
        <f t="shared" ca="1" si="196"/>
        <v>0</v>
      </c>
      <c r="AD116" s="19">
        <f t="shared" ca="1" si="196"/>
        <v>0</v>
      </c>
      <c r="AE116" s="19">
        <f t="shared" ca="1" si="196"/>
        <v>0</v>
      </c>
      <c r="AF116" s="19">
        <f t="shared" ca="1" si="196"/>
        <v>0</v>
      </c>
      <c r="AG116" s="19">
        <f t="shared" ca="1" si="196"/>
        <v>0</v>
      </c>
      <c r="AH116" s="19">
        <f t="shared" ca="1" si="196"/>
        <v>2424.353388090326</v>
      </c>
      <c r="AI116" s="19">
        <f t="shared" ca="1" si="196"/>
        <v>2424.353388090326</v>
      </c>
      <c r="AJ116" s="19">
        <f t="shared" ca="1" si="196"/>
        <v>6111.8533880903296</v>
      </c>
      <c r="AK116" s="19">
        <f t="shared" ca="1" si="196"/>
        <v>6111.8533880903296</v>
      </c>
      <c r="AL116" s="19">
        <f t="shared" ca="1" si="196"/>
        <v>6111.8533880903296</v>
      </c>
      <c r="AM116" s="19">
        <f t="shared" ca="1" si="196"/>
        <v>26299.353388090349</v>
      </c>
      <c r="AN116" s="19">
        <f t="shared" ca="1" si="196"/>
        <v>26299.353388090349</v>
      </c>
      <c r="AO116" s="19">
        <f t="shared" ca="1" si="196"/>
        <v>26299.353388090349</v>
      </c>
      <c r="AP116" s="19">
        <f t="shared" ca="1" si="196"/>
        <v>26299.353388090349</v>
      </c>
      <c r="AQ116" s="19">
        <f t="shared" ca="1" si="196"/>
        <v>26904.978388090352</v>
      </c>
      <c r="AR116" s="19">
        <f t="shared" ca="1" si="196"/>
        <v>26904.978388090352</v>
      </c>
      <c r="AS116" s="19">
        <f t="shared" ca="1" si="196"/>
        <v>26904.978388090352</v>
      </c>
      <c r="AT116" s="19">
        <f t="shared" ca="1" si="196"/>
        <v>26904.978388090352</v>
      </c>
      <c r="AU116" s="19">
        <f t="shared" ca="1" si="196"/>
        <v>26904.978388090352</v>
      </c>
      <c r="AV116" s="19">
        <f t="shared" ca="1" si="196"/>
        <v>27510.603388090352</v>
      </c>
      <c r="AW116" s="19">
        <f t="shared" ca="1" si="196"/>
        <v>27510.603388090352</v>
      </c>
      <c r="AX116" s="19">
        <f t="shared" ca="1" si="196"/>
        <v>27510.603388090352</v>
      </c>
      <c r="AY116" s="19">
        <f t="shared" ca="1" si="196"/>
        <v>27510.603388090352</v>
      </c>
      <c r="AZ116" s="19">
        <f t="shared" ca="1" si="196"/>
        <v>27510.603388090352</v>
      </c>
      <c r="BA116" s="19">
        <f t="shared" ca="1" si="196"/>
        <v>27510.603388090352</v>
      </c>
      <c r="BB116" s="19">
        <f t="shared" ca="1" si="196"/>
        <v>27510.603388090352</v>
      </c>
      <c r="BC116" s="19">
        <f t="shared" ca="1" si="196"/>
        <v>28134.397138090353</v>
      </c>
      <c r="BD116" s="19">
        <f t="shared" ca="1" si="196"/>
        <v>28134.397138090353</v>
      </c>
      <c r="BE116" s="19">
        <f t="shared" ca="1" si="196"/>
        <v>28134.397138090353</v>
      </c>
      <c r="BF116" s="19">
        <f t="shared" ca="1" si="196"/>
        <v>28134.397138090353</v>
      </c>
      <c r="BG116" s="19">
        <f t="shared" ca="1" si="196"/>
        <v>28134.397138090353</v>
      </c>
      <c r="BH116" s="19">
        <f t="shared" ca="1" si="196"/>
        <v>28758.190888090357</v>
      </c>
      <c r="BI116" s="19">
        <f t="shared" ca="1" si="196"/>
        <v>28758.190888090357</v>
      </c>
      <c r="BJ116" s="19">
        <f t="shared" ca="1" si="196"/>
        <v>28758.190888090357</v>
      </c>
      <c r="BK116" s="19">
        <f t="shared" ca="1" si="196"/>
        <v>28758.190888090357</v>
      </c>
      <c r="BL116" s="19">
        <f t="shared" ca="1" si="196"/>
        <v>28758.190888090357</v>
      </c>
      <c r="BM116" s="19">
        <f t="shared" ca="1" si="196"/>
        <v>28758.190888090357</v>
      </c>
      <c r="BN116" s="19">
        <f t="shared" ca="1" si="196"/>
        <v>28758.190888090357</v>
      </c>
      <c r="BO116" s="19">
        <f t="shared" ca="1" si="196"/>
        <v>29400.698450590346</v>
      </c>
      <c r="BP116" s="19">
        <f t="shared" ca="1" si="196"/>
        <v>29400.698450590346</v>
      </c>
      <c r="BQ116" s="19">
        <f t="shared" ca="1" si="196"/>
        <v>29400.698450590346</v>
      </c>
      <c r="BR116" s="19">
        <f t="shared" ca="1" si="196"/>
        <v>29400.698450590346</v>
      </c>
      <c r="BS116" s="19">
        <f t="shared" ca="1" si="196"/>
        <v>29400.698450590346</v>
      </c>
      <c r="BT116" s="19">
        <f t="shared" ref="BT116:CR116" ca="1" si="197">BT95+BT102</f>
        <v>30043.206013090341</v>
      </c>
      <c r="BU116" s="19">
        <f t="shared" ca="1" si="197"/>
        <v>30043.206013090341</v>
      </c>
      <c r="BV116" s="19">
        <f t="shared" ca="1" si="197"/>
        <v>30043.206013090341</v>
      </c>
      <c r="BW116" s="19">
        <f t="shared" ca="1" si="197"/>
        <v>30043.206013090341</v>
      </c>
      <c r="BX116" s="19">
        <f t="shared" ca="1" si="197"/>
        <v>30043.206013090341</v>
      </c>
      <c r="BY116" s="19">
        <f t="shared" ca="1" si="197"/>
        <v>30043.206013090341</v>
      </c>
      <c r="BZ116" s="19">
        <f t="shared" ca="1" si="197"/>
        <v>30043.206013090341</v>
      </c>
      <c r="CA116" s="19">
        <f t="shared" ca="1" si="197"/>
        <v>30704.988802465352</v>
      </c>
      <c r="CB116" s="19">
        <f t="shared" ca="1" si="197"/>
        <v>30704.988802465352</v>
      </c>
      <c r="CC116" s="19">
        <f t="shared" ca="1" si="197"/>
        <v>30704.988802465352</v>
      </c>
      <c r="CD116" s="19">
        <f t="shared" ca="1" si="197"/>
        <v>30704.988802465352</v>
      </c>
      <c r="CE116" s="19">
        <f t="shared" ca="1" si="197"/>
        <v>30704.988802465352</v>
      </c>
      <c r="CF116" s="19">
        <f t="shared" ca="1" si="197"/>
        <v>31366.771591840345</v>
      </c>
      <c r="CG116" s="19">
        <f t="shared" ca="1" si="197"/>
        <v>31366.771591840345</v>
      </c>
      <c r="CH116" s="19">
        <f t="shared" ca="1" si="197"/>
        <v>31366.771591840345</v>
      </c>
      <c r="CI116" s="19">
        <f t="shared" ca="1" si="197"/>
        <v>31366.771591840345</v>
      </c>
      <c r="CJ116" s="19">
        <f t="shared" ca="1" si="197"/>
        <v>31366.771591840345</v>
      </c>
      <c r="CK116" s="19">
        <f t="shared" ca="1" si="197"/>
        <v>31366.771591840345</v>
      </c>
      <c r="CL116" s="19">
        <f t="shared" ca="1" si="197"/>
        <v>31366.771591840345</v>
      </c>
      <c r="CM116" s="19">
        <f t="shared" ca="1" si="197"/>
        <v>32048.407864896599</v>
      </c>
      <c r="CN116" s="19">
        <f t="shared" ca="1" si="197"/>
        <v>32048.407864896599</v>
      </c>
      <c r="CO116" s="19">
        <f t="shared" ca="1" si="197"/>
        <v>32048.407864896599</v>
      </c>
      <c r="CP116" s="19">
        <f t="shared" ca="1" si="197"/>
        <v>32048.407864896599</v>
      </c>
      <c r="CQ116" s="19">
        <f t="shared" ca="1" si="197"/>
        <v>32048.407864896599</v>
      </c>
      <c r="CR116" s="19">
        <f t="shared" ca="1" si="197"/>
        <v>18854649.743630212</v>
      </c>
    </row>
    <row r="117" spans="2:96" x14ac:dyDescent="0.3">
      <c r="B117" s="42" t="s">
        <v>133</v>
      </c>
      <c r="C117" s="44">
        <f ca="1">C116+C115</f>
        <v>18377313.389272589</v>
      </c>
      <c r="G117" s="19">
        <f ca="1">SUM(G115:G116)</f>
        <v>-1153750.0000000009</v>
      </c>
      <c r="H117" s="19">
        <f t="shared" ref="H117:BS117" ca="1" si="198">SUM(H115:H116)</f>
        <v>-143750.00000000012</v>
      </c>
      <c r="I117" s="19">
        <f t="shared" ca="1" si="198"/>
        <v>-143750.00000000012</v>
      </c>
      <c r="J117" s="19">
        <f t="shared" ca="1" si="198"/>
        <v>-143750.00000000012</v>
      </c>
      <c r="K117" s="19">
        <f t="shared" ca="1" si="198"/>
        <v>-143750.00000000012</v>
      </c>
      <c r="L117" s="19">
        <f t="shared" ca="1" si="198"/>
        <v>-143750.00000000012</v>
      </c>
      <c r="M117" s="19">
        <f t="shared" ca="1" si="198"/>
        <v>-143750.00000000012</v>
      </c>
      <c r="N117" s="19">
        <f t="shared" ca="1" si="198"/>
        <v>-129186.79123888213</v>
      </c>
      <c r="O117" s="19">
        <f t="shared" ca="1" si="198"/>
        <v>0</v>
      </c>
      <c r="P117" s="19">
        <f t="shared" ca="1" si="198"/>
        <v>0</v>
      </c>
      <c r="Q117" s="19">
        <f t="shared" ca="1" si="198"/>
        <v>0</v>
      </c>
      <c r="R117" s="19">
        <f t="shared" ca="1" si="198"/>
        <v>0</v>
      </c>
      <c r="S117" s="19">
        <f t="shared" ca="1" si="198"/>
        <v>0</v>
      </c>
      <c r="T117" s="19">
        <f t="shared" ca="1" si="198"/>
        <v>0</v>
      </c>
      <c r="U117" s="19">
        <f t="shared" ca="1" si="198"/>
        <v>0</v>
      </c>
      <c r="V117" s="19">
        <f t="shared" ca="1" si="198"/>
        <v>0</v>
      </c>
      <c r="W117" s="19">
        <f t="shared" ca="1" si="198"/>
        <v>0</v>
      </c>
      <c r="X117" s="19">
        <f t="shared" ca="1" si="198"/>
        <v>0</v>
      </c>
      <c r="Y117" s="19">
        <f t="shared" ca="1" si="198"/>
        <v>0</v>
      </c>
      <c r="Z117" s="19">
        <f t="shared" ca="1" si="198"/>
        <v>0</v>
      </c>
      <c r="AA117" s="19">
        <f t="shared" ca="1" si="198"/>
        <v>0</v>
      </c>
      <c r="AB117" s="19">
        <f t="shared" ca="1" si="198"/>
        <v>0</v>
      </c>
      <c r="AC117" s="19">
        <f t="shared" ca="1" si="198"/>
        <v>0</v>
      </c>
      <c r="AD117" s="19">
        <f t="shared" ca="1" si="198"/>
        <v>0</v>
      </c>
      <c r="AE117" s="19">
        <f t="shared" ca="1" si="198"/>
        <v>-6666.6666666666733</v>
      </c>
      <c r="AF117" s="19">
        <f t="shared" ca="1" si="198"/>
        <v>-6666.6666666666733</v>
      </c>
      <c r="AG117" s="19">
        <f t="shared" ca="1" si="198"/>
        <v>-6666.6666666666733</v>
      </c>
      <c r="AH117" s="19">
        <f t="shared" ca="1" si="198"/>
        <v>2424.353388090326</v>
      </c>
      <c r="AI117" s="19">
        <f t="shared" ca="1" si="198"/>
        <v>2424.353388090326</v>
      </c>
      <c r="AJ117" s="19">
        <f t="shared" ca="1" si="198"/>
        <v>6111.8533880903296</v>
      </c>
      <c r="AK117" s="19">
        <f t="shared" ca="1" si="198"/>
        <v>6111.8533880903296</v>
      </c>
      <c r="AL117" s="19">
        <f t="shared" ca="1" si="198"/>
        <v>6111.8533880903296</v>
      </c>
      <c r="AM117" s="19">
        <f t="shared" ca="1" si="198"/>
        <v>26299.353388090349</v>
      </c>
      <c r="AN117" s="19">
        <f t="shared" ca="1" si="198"/>
        <v>26299.353388090349</v>
      </c>
      <c r="AO117" s="19">
        <f t="shared" ca="1" si="198"/>
        <v>26299.353388090349</v>
      </c>
      <c r="AP117" s="19">
        <f t="shared" ca="1" si="198"/>
        <v>26299.353388090349</v>
      </c>
      <c r="AQ117" s="19">
        <f t="shared" ca="1" si="198"/>
        <v>26904.978388090352</v>
      </c>
      <c r="AR117" s="19">
        <f t="shared" ca="1" si="198"/>
        <v>26904.978388090352</v>
      </c>
      <c r="AS117" s="19">
        <f t="shared" ca="1" si="198"/>
        <v>26904.978388090352</v>
      </c>
      <c r="AT117" s="19">
        <f t="shared" ca="1" si="198"/>
        <v>26904.978388090352</v>
      </c>
      <c r="AU117" s="19">
        <f t="shared" ca="1" si="198"/>
        <v>26904.978388090352</v>
      </c>
      <c r="AV117" s="19">
        <f t="shared" ca="1" si="198"/>
        <v>27510.603388090352</v>
      </c>
      <c r="AW117" s="19">
        <f t="shared" ca="1" si="198"/>
        <v>27510.603388090352</v>
      </c>
      <c r="AX117" s="19">
        <f t="shared" ca="1" si="198"/>
        <v>27510.603388090352</v>
      </c>
      <c r="AY117" s="19">
        <f t="shared" ca="1" si="198"/>
        <v>27510.603388090352</v>
      </c>
      <c r="AZ117" s="19">
        <f t="shared" ca="1" si="198"/>
        <v>27510.603388090352</v>
      </c>
      <c r="BA117" s="19">
        <f t="shared" ca="1" si="198"/>
        <v>27510.603388090352</v>
      </c>
      <c r="BB117" s="19">
        <f t="shared" ca="1" si="198"/>
        <v>27510.603388090352</v>
      </c>
      <c r="BC117" s="19">
        <f t="shared" ca="1" si="198"/>
        <v>28134.397138090353</v>
      </c>
      <c r="BD117" s="19">
        <f t="shared" ca="1" si="198"/>
        <v>28134.397138090353</v>
      </c>
      <c r="BE117" s="19">
        <f t="shared" ca="1" si="198"/>
        <v>28134.397138090353</v>
      </c>
      <c r="BF117" s="19">
        <f t="shared" ca="1" si="198"/>
        <v>28134.397138090353</v>
      </c>
      <c r="BG117" s="19">
        <f t="shared" ca="1" si="198"/>
        <v>28134.397138090353</v>
      </c>
      <c r="BH117" s="19">
        <f t="shared" ca="1" si="198"/>
        <v>28758.190888090357</v>
      </c>
      <c r="BI117" s="19">
        <f t="shared" ca="1" si="198"/>
        <v>28758.190888090357</v>
      </c>
      <c r="BJ117" s="19">
        <f t="shared" ca="1" si="198"/>
        <v>28758.190888090357</v>
      </c>
      <c r="BK117" s="19">
        <f t="shared" ca="1" si="198"/>
        <v>28758.190888090357</v>
      </c>
      <c r="BL117" s="19">
        <f t="shared" ca="1" si="198"/>
        <v>28758.190888090357</v>
      </c>
      <c r="BM117" s="19">
        <f t="shared" ca="1" si="198"/>
        <v>28758.190888090357</v>
      </c>
      <c r="BN117" s="19">
        <f t="shared" ca="1" si="198"/>
        <v>28758.190888090357</v>
      </c>
      <c r="BO117" s="19">
        <f t="shared" ca="1" si="198"/>
        <v>29400.698450590346</v>
      </c>
      <c r="BP117" s="19">
        <f t="shared" ca="1" si="198"/>
        <v>29400.698450590346</v>
      </c>
      <c r="BQ117" s="19">
        <f t="shared" ca="1" si="198"/>
        <v>29400.698450590346</v>
      </c>
      <c r="BR117" s="19">
        <f t="shared" ca="1" si="198"/>
        <v>29400.698450590346</v>
      </c>
      <c r="BS117" s="19">
        <f t="shared" ca="1" si="198"/>
        <v>29400.698450590346</v>
      </c>
      <c r="BT117" s="19">
        <f t="shared" ref="BT117:CR117" ca="1" si="199">SUM(BT115:BT116)</f>
        <v>30043.206013090341</v>
      </c>
      <c r="BU117" s="19">
        <f t="shared" ca="1" si="199"/>
        <v>30043.206013090341</v>
      </c>
      <c r="BV117" s="19">
        <f t="shared" ca="1" si="199"/>
        <v>30043.206013090341</v>
      </c>
      <c r="BW117" s="19">
        <f t="shared" ca="1" si="199"/>
        <v>30043.206013090341</v>
      </c>
      <c r="BX117" s="19">
        <f t="shared" ca="1" si="199"/>
        <v>30043.206013090341</v>
      </c>
      <c r="BY117" s="19">
        <f t="shared" ca="1" si="199"/>
        <v>30043.206013090341</v>
      </c>
      <c r="BZ117" s="19">
        <f t="shared" ca="1" si="199"/>
        <v>30043.206013090341</v>
      </c>
      <c r="CA117" s="19">
        <f t="shared" ca="1" si="199"/>
        <v>30704.988802465352</v>
      </c>
      <c r="CB117" s="19">
        <f t="shared" ca="1" si="199"/>
        <v>30704.988802465352</v>
      </c>
      <c r="CC117" s="19">
        <f t="shared" ca="1" si="199"/>
        <v>30704.988802465352</v>
      </c>
      <c r="CD117" s="19">
        <f t="shared" ca="1" si="199"/>
        <v>30704.988802465352</v>
      </c>
      <c r="CE117" s="19">
        <f t="shared" ca="1" si="199"/>
        <v>30704.988802465352</v>
      </c>
      <c r="CF117" s="19">
        <f t="shared" ca="1" si="199"/>
        <v>31366.771591840345</v>
      </c>
      <c r="CG117" s="19">
        <f t="shared" ca="1" si="199"/>
        <v>31366.771591840345</v>
      </c>
      <c r="CH117" s="19">
        <f t="shared" ca="1" si="199"/>
        <v>31366.771591840345</v>
      </c>
      <c r="CI117" s="19">
        <f t="shared" ca="1" si="199"/>
        <v>31366.771591840345</v>
      </c>
      <c r="CJ117" s="19">
        <f t="shared" ca="1" si="199"/>
        <v>31366.771591840345</v>
      </c>
      <c r="CK117" s="19">
        <f t="shared" ca="1" si="199"/>
        <v>31366.771591840345</v>
      </c>
      <c r="CL117" s="19">
        <f t="shared" ca="1" si="199"/>
        <v>31366.771591840345</v>
      </c>
      <c r="CM117" s="19">
        <f t="shared" ca="1" si="199"/>
        <v>32048.407864896599</v>
      </c>
      <c r="CN117" s="19">
        <f t="shared" ca="1" si="199"/>
        <v>32048.407864896599</v>
      </c>
      <c r="CO117" s="19">
        <f t="shared" ca="1" si="199"/>
        <v>32048.407864896599</v>
      </c>
      <c r="CP117" s="19">
        <f t="shared" ca="1" si="199"/>
        <v>32048.407864896599</v>
      </c>
      <c r="CQ117" s="19">
        <f t="shared" ca="1" si="199"/>
        <v>32048.407864896599</v>
      </c>
      <c r="CR117" s="19">
        <f t="shared" ca="1" si="199"/>
        <v>18854649.743630212</v>
      </c>
    </row>
    <row r="118" spans="2:96" x14ac:dyDescent="0.3">
      <c r="B118" s="42" t="s">
        <v>134</v>
      </c>
      <c r="C118" s="45">
        <f ca="1">XIRR(G117:CR117,$G$6:$CR$6)</f>
        <v>0.3838155090808868</v>
      </c>
    </row>
    <row r="119" spans="2:96" x14ac:dyDescent="0.3">
      <c r="B119" s="42" t="s">
        <v>135</v>
      </c>
      <c r="C119" s="46">
        <f ca="1">C116/-C115</f>
        <v>9.4866542693026936</v>
      </c>
    </row>
  </sheetData>
  <pageMargins left="0.7" right="0.7" top="0.75" bottom="0.75" header="0.3" footer="0.3"/>
  <ignoredErrors>
    <ignoredError sqref="C42" formulaRange="1"/>
    <ignoredError sqref="G50:H5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Amir</dc:creator>
  <cp:lastModifiedBy>Mohammed Amir</cp:lastModifiedBy>
  <dcterms:created xsi:type="dcterms:W3CDTF">2025-10-26T05:27:12Z</dcterms:created>
  <dcterms:modified xsi:type="dcterms:W3CDTF">2025-10-26T23:55:32Z</dcterms:modified>
</cp:coreProperties>
</file>